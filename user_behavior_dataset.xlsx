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Documents\Datasets\"/>
    </mc:Choice>
  </mc:AlternateContent>
  <bookViews>
    <workbookView xWindow="0" yWindow="0" windowWidth="15345" windowHeight="4485" firstSheet="1" activeTab="3"/>
  </bookViews>
  <sheets>
    <sheet name="Original Data" sheetId="2" r:id="rId1"/>
    <sheet name="Altered data" sheetId="1" r:id="rId2"/>
    <sheet name="Device model with highest users" sheetId="3" r:id="rId3"/>
    <sheet name="Dashboard View" sheetId="4" r:id="rId4"/>
  </sheets>
  <definedNames>
    <definedName name="_xlnm._FilterDatabase" localSheetId="1" hidden="1">'Altered data'!$A$1:$M$701</definedName>
    <definedName name="_xlcn.WorksheetConnection_user_behavior_dataset.xlsxTable_ExternalData_11" hidden="1">Table_ExternalData_1</definedName>
    <definedName name="_xlcn.WorksheetConnection_user_behavior_dataset.xlsxTable21" hidden="1">Table2[]</definedName>
    <definedName name="Slicer_Age_Range">#N/A</definedName>
    <definedName name="Slicer_Device_Model">#N/A</definedName>
    <definedName name="Slicer_Operating_System">#N/A</definedName>
    <definedName name="Slicer_User_Behaviour_Classification">#N/A</definedName>
  </definedNames>
  <calcPr calcId="162913"/>
  <pivotCaches>
    <pivotCache cacheId="0" r:id="rId5"/>
    <pivotCache cacheId="5909" r:id="rId6"/>
    <pivotCache cacheId="5912" r:id="rId7"/>
    <pivotCache cacheId="5915" r:id="rId8"/>
    <pivotCache cacheId="5918" r:id="rId9"/>
    <pivotCache cacheId="5921" r:id="rId10"/>
    <pivotCache cacheId="5924" r:id="rId11"/>
    <pivotCache cacheId="5927" r:id="rId12"/>
    <pivotCache cacheId="5930" r:id="rId13"/>
    <pivotCache cacheId="5933" r:id="rId14"/>
    <pivotCache cacheId="5936" r:id="rId15"/>
    <pivotCache cacheId="5939" r:id="rId16"/>
    <pivotCache cacheId="5942" r:id="rId17"/>
    <pivotCache cacheId="5945" r:id="rId18"/>
    <pivotCache cacheId="5948" r:id="rId19"/>
    <pivotCache cacheId="5951" r:id="rId20"/>
    <pivotCache cacheId="5954" r:id="rId21"/>
    <pivotCache cacheId="5957" r:id="rId22"/>
    <pivotCache cacheId="5960" r:id="rId23"/>
    <pivotCache cacheId="5963" r:id="rId24"/>
    <pivotCache cacheId="5966" r:id="rId25"/>
    <pivotCache cacheId="5969" r:id="rId26"/>
  </pivotCaches>
  <extLst>
    <ext xmlns:x14="http://schemas.microsoft.com/office/spreadsheetml/2009/9/main" uri="{876F7934-8845-4945-9796-88D515C7AA90}">
      <x14:pivotCaches>
        <pivotCache cacheId="19"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user_behavior_dataset.xlsx!Table2"/>
          <x15:modelTable id="Table_ExternalData_1" name="Table_ExternalData_1" connection="WorksheetConnection_user_behavior_dataset.xlsx!Table_ExternalData_1"/>
        </x15:modelTables>
        <x15:modelRelationships>
          <x15:modelRelationship fromTable="Table_ExternalData_1" fromColumn="Table2[User ID]" toTable="Table2" toColumn="User ID"/>
        </x15:modelRelationships>
      </x15:dataModel>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E63" i="3"/>
  <c r="O47" i="3"/>
  <c r="P68" i="3"/>
  <c r="K66" i="3"/>
  <c r="E73" i="3"/>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user_behavior_dataset.xlsx!Table_ExternalData_1" type="102" refreshedVersion="6" minRefreshableVersion="5">
    <extLst>
      <ext xmlns:x15="http://schemas.microsoft.com/office/spreadsheetml/2010/11/main" uri="{DE250136-89BD-433C-8126-D09CA5730AF9}">
        <x15:connection id="Table_ExternalData_1" autoDelete="1">
          <x15:rangePr sourceName="_xlcn.WorksheetConnection_user_behavior_dataset.xlsxTable_ExternalData_11"/>
        </x15:connection>
      </ext>
    </extLst>
  </connection>
  <connection id="3" name="WorksheetConnection_user_behavior_dataset.xlsx!Table2" type="102" refreshedVersion="6" minRefreshableVersion="5">
    <extLst>
      <ext xmlns:x15="http://schemas.microsoft.com/office/spreadsheetml/2010/11/main" uri="{DE250136-89BD-433C-8126-D09CA5730AF9}">
        <x15:connection id="Table2" autoDelete="1">
          <x15:rangePr sourceName="_xlcn.WorksheetConnection_user_behavior_dataset.xlsxTable21"/>
        </x15:connection>
      </ext>
    </extLst>
  </connection>
</connections>
</file>

<file path=xl/sharedStrings.xml><?xml version="1.0" encoding="utf-8"?>
<sst xmlns="http://schemas.openxmlformats.org/spreadsheetml/2006/main" count="4451" uniqueCount="84">
  <si>
    <t>User ID</t>
  </si>
  <si>
    <t>Device Model</t>
  </si>
  <si>
    <t>Operating System</t>
  </si>
  <si>
    <t>App Usage Time (min/day)</t>
  </si>
  <si>
    <t>Screen On Time (hours/day)</t>
  </si>
  <si>
    <t>Battery Drain (mAh/day)</t>
  </si>
  <si>
    <t>Number of Apps Installed</t>
  </si>
  <si>
    <t>Data Usage (MB/day)</t>
  </si>
  <si>
    <t>Age</t>
  </si>
  <si>
    <t>Gender</t>
  </si>
  <si>
    <t>User Behavior Class</t>
  </si>
  <si>
    <t>Google Pixel 5</t>
  </si>
  <si>
    <t>Android</t>
  </si>
  <si>
    <t>Male</t>
  </si>
  <si>
    <t>OnePlus 9</t>
  </si>
  <si>
    <t>Female</t>
  </si>
  <si>
    <t>Xiaomi Mi 11</t>
  </si>
  <si>
    <t>iPhone 12</t>
  </si>
  <si>
    <t>iOS</t>
  </si>
  <si>
    <t>Samsung Galaxy S21</t>
  </si>
  <si>
    <t>User Behaviour Classification</t>
  </si>
  <si>
    <t>Heavy User</t>
  </si>
  <si>
    <t>Moderate User</t>
  </si>
  <si>
    <t>Light User</t>
  </si>
  <si>
    <t>Row Labels</t>
  </si>
  <si>
    <t>Grand Total</t>
  </si>
  <si>
    <t>Device model with highest users</t>
  </si>
  <si>
    <t>Count of User ID</t>
  </si>
  <si>
    <t>Device Models by Age Groups</t>
  </si>
  <si>
    <t>Distinct Count of Number of Apps Installed</t>
  </si>
  <si>
    <t>OS by Gender</t>
  </si>
  <si>
    <t>Count of Gender</t>
  </si>
  <si>
    <t>Column Labels</t>
  </si>
  <si>
    <t>Whats the Average App Usage Time</t>
  </si>
  <si>
    <t>Average of App Usage Time (min/day)</t>
  </si>
  <si>
    <t>Mean</t>
  </si>
  <si>
    <t>Standard Error</t>
  </si>
  <si>
    <t>Median</t>
  </si>
  <si>
    <t>Mode</t>
  </si>
  <si>
    <t>Standard Deviation</t>
  </si>
  <si>
    <t>Sample Variance</t>
  </si>
  <si>
    <t>Kurtosis</t>
  </si>
  <si>
    <t>Skewness</t>
  </si>
  <si>
    <t>Range</t>
  </si>
  <si>
    <t>Minimum</t>
  </si>
  <si>
    <t>Maximum</t>
  </si>
  <si>
    <t>Sum</t>
  </si>
  <si>
    <t>Count</t>
  </si>
  <si>
    <t>Descriptive</t>
  </si>
  <si>
    <t>User App Usage time</t>
  </si>
  <si>
    <t>Screen On Time</t>
  </si>
  <si>
    <t>Battery Drain</t>
  </si>
  <si>
    <t>How many users fall into each User Behavior Classification (Light, Moderate, Heavy)?</t>
  </si>
  <si>
    <t>Age-Range</t>
  </si>
  <si>
    <t>Group-Label</t>
  </si>
  <si>
    <t>what age groups fall into these  user behaviour classification?</t>
  </si>
  <si>
    <t>Count of Age-Range</t>
  </si>
  <si>
    <t>18 - 24</t>
  </si>
  <si>
    <t>25 - 34</t>
  </si>
  <si>
    <t>35 - 44</t>
  </si>
  <si>
    <t>45 - 54</t>
  </si>
  <si>
    <t>55 - 59</t>
  </si>
  <si>
    <t>Destribution of Operation System</t>
  </si>
  <si>
    <t xml:space="preserve">Average data Usage by OS </t>
  </si>
  <si>
    <t>Average of Data Usage (MB/day)</t>
  </si>
  <si>
    <t>Average No of Installed Apps by User Segment</t>
  </si>
  <si>
    <t>Average of Number of Apps Installed</t>
  </si>
  <si>
    <t xml:space="preserve"> </t>
  </si>
  <si>
    <t>Is there a gender difference in app usage or screen-on time?</t>
  </si>
  <si>
    <t>Average of Screen On Time (hours/day)</t>
  </si>
  <si>
    <t>What is the correlation between App Usage Time and Battery Drain?</t>
  </si>
  <si>
    <t>Average Battery Drain per User</t>
  </si>
  <si>
    <t>Average of Battery Drain (mAh/day)</t>
  </si>
  <si>
    <t>Total active users</t>
  </si>
  <si>
    <t>Distinct Count of User ID</t>
  </si>
  <si>
    <t>Distinct Count of Table2[User ID]</t>
  </si>
  <si>
    <t>Top Device Model</t>
  </si>
  <si>
    <t>Count of Table2[Device Model]</t>
  </si>
  <si>
    <t>Age group by hours on screen</t>
  </si>
  <si>
    <t>Average battery by user</t>
  </si>
  <si>
    <t>Average of Table2[Battery Drain (mAh/day)]</t>
  </si>
  <si>
    <t xml:space="preserve">                                                                                                                                                   </t>
  </si>
  <si>
    <t>Device Models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</si>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</sst>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99FF"/>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16" fillId="0" borderId="0" xfId="0" applyFont="1" applyAlignment="1">
      <alignment horizontal="left"/>
    </xf>
    <xf numFmtId="1" fontId="0" fillId="0" borderId="0" xfId="0" applyNumberFormat="1"/>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Continuous"/>
    </xf>
    <xf numFmtId="0" fontId="0" fillId="0" borderId="0" xfId="0" applyAlignment="1">
      <alignment horizontal="right"/>
    </xf>
    <xf numFmtId="0" fontId="0" fillId="0" borderId="0" xfId="0" applyNumberFormat="1" applyAlignment="1">
      <alignment horizontal="right"/>
    </xf>
    <xf numFmtId="0" fontId="18" fillId="0" borderId="0" xfId="0" applyFont="1" applyFill="1" applyBorder="1" applyAlignment="1">
      <alignment horizontal="center"/>
    </xf>
    <xf numFmtId="2" fontId="0" fillId="0" borderId="0" xfId="0" applyNumberForma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 fontId="0" fillId="0" borderId="0" xfId="0" applyNumberFormat="1" applyFill="1" applyBorder="1" applyAlignment="1"/>
    <xf numFmtId="1" fontId="0" fillId="0" borderId="10" xfId="0" applyNumberFormat="1" applyFill="1" applyBorder="1" applyAlignment="1"/>
    <xf numFmtId="164" fontId="0" fillId="0" borderId="0" xfId="0" applyNumberFormat="1" applyFill="1" applyBorder="1" applyAlignment="1"/>
    <xf numFmtId="164" fontId="0" fillId="0" borderId="0" xfId="0" applyNumberFormat="1"/>
    <xf numFmtId="0" fontId="0" fillId="33" borderId="0" xfId="0" applyFill="1"/>
    <xf numFmtId="0" fontId="0" fillId="33" borderId="12" xfId="0" applyFill="1" applyBorder="1"/>
    <xf numFmtId="0" fontId="0" fillId="33" borderId="13" xfId="0" applyFill="1" applyBorder="1"/>
    <xf numFmtId="0" fontId="0" fillId="33" borderId="14" xfId="0" applyFill="1" applyBorder="1"/>
    <xf numFmtId="0" fontId="0" fillId="33" borderId="15" xfId="0" applyFill="1" applyBorder="1"/>
    <xf numFmtId="0" fontId="0" fillId="33" borderId="16" xfId="0" applyFill="1" applyBorder="1"/>
    <xf numFmtId="0" fontId="0" fillId="33" borderId="17" xfId="0" applyFill="1" applyBorder="1"/>
    <xf numFmtId="0" fontId="0" fillId="33" borderId="18" xfId="0" applyFill="1" applyBorder="1"/>
    <xf numFmtId="0" fontId="0" fillId="33" borderId="19" xfId="0" applyFill="1" applyBorder="1"/>
    <xf numFmtId="0" fontId="0" fillId="33" borderId="2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 formatCode="0"/>
    </dxf>
    <dxf>
      <fill>
        <patternFill>
          <bgColor rgb="FF9999FF"/>
        </patternFill>
      </fill>
    </dxf>
    <dxf>
      <fill>
        <patternFill>
          <bgColor theme="0"/>
        </patternFill>
      </fill>
    </dxf>
    <dxf>
      <fill>
        <patternFill>
          <bgColor rgb="FF9999FF"/>
        </patternFill>
      </fill>
    </dxf>
    <dxf>
      <fill>
        <patternFill>
          <bgColor rgb="FFCCCCFF"/>
        </patternFill>
      </fill>
    </dxf>
    <dxf>
      <numFmt numFmtId="1" formatCode="0"/>
    </dxf>
    <dxf>
      <numFmt numFmtId="164" formatCode="0.0"/>
    </dxf>
    <dxf>
      <numFmt numFmtId="1" formatCode="0"/>
    </dxf>
    <dxf>
      <numFmt numFmtId="164" formatCode="0.0"/>
    </dxf>
    <dxf>
      <alignment horizontal="right" readingOrder="0"/>
    </dxf>
    <dxf>
      <alignment horizontal="right" readingOrder="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0" formatCode="General"/>
    </dxf>
    <dxf>
      <numFmt numFmtId="0" formatCode="General"/>
    </dxf>
    <dxf>
      <fill>
        <patternFill>
          <fgColor theme="0"/>
        </patternFill>
      </fill>
    </dxf>
  </dxfs>
  <tableStyles count="1" defaultTableStyle="TableStyleMedium2" defaultPivotStyle="PivotStyleLight16">
    <tableStyle name="Slicer Style 1" pivot="0" table="0" count="1">
      <tableStyleElement type="wholeTable" dxfId="20"/>
    </tableStyle>
  </tableStyles>
  <colors>
    <mruColors>
      <color rgb="FF9999FF"/>
      <color rgb="FFCCCC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39"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microsoft.com/office/2007/relationships/slicerCache" Target="slicerCaches/slicerCache2.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1.xml"/><Relationship Id="rId36" Type="http://schemas.openxmlformats.org/officeDocument/2006/relationships/powerPivotData" Target="model/item.data"/><Relationship Id="rId49"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microsoft.com/office/2007/relationships/slicerCache" Target="slicerCaches/slicerCache4.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microsoft.com/office/2007/relationships/slicerCache" Target="slicerCaches/slicerCache3.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8" Type="http://schemas.openxmlformats.org/officeDocument/2006/relationships/pivotCacheDefinition" Target="pivotCache/pivotCacheDefinition4.xml"/><Relationship Id="rId5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users!PivotTable19</c:name>
    <c:fmtId val="4"/>
  </c:pivotSource>
  <c:chart>
    <c:title>
      <c:tx>
        <c:rich>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r>
              <a:rPr lang="en-US" sz="1200" b="0" i="0" u="none" strike="noStrike" baseline="0"/>
              <a:t>Average Daily Battery Drain(mAh) by Device Model</a:t>
            </a:r>
            <a:endParaRPr lang="en-US" sz="1200" b="0"/>
          </a:p>
        </c:rich>
      </c:tx>
      <c:layout>
        <c:manualLayout>
          <c:xMode val="edge"/>
          <c:yMode val="edge"/>
          <c:x val="0.15384664555306971"/>
          <c:y val="6.060606060606060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2036279245221122"/>
          <c:y val="0.38836351586756168"/>
          <c:w val="0.59054039078448528"/>
          <c:h val="0.60588235294117643"/>
        </c:manualLayout>
      </c:layout>
      <c:barChart>
        <c:barDir val="bar"/>
        <c:grouping val="clustered"/>
        <c:varyColors val="0"/>
        <c:ser>
          <c:idx val="0"/>
          <c:order val="0"/>
          <c:tx>
            <c:strRef>
              <c:f>'Device model with highest users'!$D$57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users'!$C$58:$C$63</c:f>
              <c:strCache>
                <c:ptCount val="5"/>
                <c:pt idx="0">
                  <c:v>iPhone 12</c:v>
                </c:pt>
                <c:pt idx="1">
                  <c:v>Xiaomi Mi 11</c:v>
                </c:pt>
                <c:pt idx="2">
                  <c:v>OnePlus 9</c:v>
                </c:pt>
                <c:pt idx="3">
                  <c:v>Samsung Galaxy S21</c:v>
                </c:pt>
                <c:pt idx="4">
                  <c:v>Google Pixel 5</c:v>
                </c:pt>
              </c:strCache>
            </c:strRef>
          </c:cat>
          <c:val>
            <c:numRef>
              <c:f>'Device model with highest users'!$D$58:$D$63</c:f>
              <c:numCache>
                <c:formatCode>0</c:formatCode>
                <c:ptCount val="5"/>
                <c:pt idx="0">
                  <c:v>1589.513698630137</c:v>
                </c:pt>
                <c:pt idx="1">
                  <c:v>1528.8767123287671</c:v>
                </c:pt>
                <c:pt idx="2">
                  <c:v>1523.8496240601503</c:v>
                </c:pt>
                <c:pt idx="3">
                  <c:v>1504.5714285714287</c:v>
                </c:pt>
                <c:pt idx="4">
                  <c:v>1475.6760563380283</c:v>
                </c:pt>
              </c:numCache>
            </c:numRef>
          </c:val>
          <c:extLst>
            <c:ext xmlns:c16="http://schemas.microsoft.com/office/drawing/2014/chart" uri="{C3380CC4-5D6E-409C-BE32-E72D297353CC}">
              <c16:uniqueId val="{00000002-012F-455A-A183-ECA51F359E51}"/>
            </c:ext>
          </c:extLst>
        </c:ser>
        <c:dLbls>
          <c:dLblPos val="inEnd"/>
          <c:showLegendKey val="0"/>
          <c:showVal val="1"/>
          <c:showCatName val="0"/>
          <c:showSerName val="0"/>
          <c:showPercent val="0"/>
          <c:showBubbleSize val="0"/>
        </c:dLbls>
        <c:gapWidth val="65"/>
        <c:axId val="585008568"/>
        <c:axId val="585010208"/>
      </c:barChart>
      <c:catAx>
        <c:axId val="585008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5010208"/>
        <c:crosses val="autoZero"/>
        <c:auto val="1"/>
        <c:lblAlgn val="ctr"/>
        <c:lblOffset val="100"/>
        <c:noMultiLvlLbl val="0"/>
      </c:catAx>
      <c:valAx>
        <c:axId val="585010208"/>
        <c:scaling>
          <c:orientation val="minMax"/>
        </c:scaling>
        <c:delete val="1"/>
        <c:axPos val="b"/>
        <c:numFmt formatCode="0" sourceLinked="1"/>
        <c:majorTickMark val="none"/>
        <c:minorTickMark val="none"/>
        <c:tickLblPos val="nextTo"/>
        <c:crossAx val="585008568"/>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users!PivotTable4</c:name>
    <c:fmtId val="6"/>
  </c:pivotSource>
  <c:chart>
    <c:title>
      <c:tx>
        <c:rich>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r>
              <a:rPr lang="en-US" sz="1200" b="0"/>
              <a:t>OS by Gender</a:t>
            </a:r>
          </a:p>
        </c:rich>
      </c:tx>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7021284115254317E-2"/>
          <c:y val="0.24734848484848485"/>
          <c:w val="0.69843705559921843"/>
          <c:h val="0.5617555476020043"/>
        </c:manualLayout>
      </c:layout>
      <c:barChart>
        <c:barDir val="col"/>
        <c:grouping val="clustered"/>
        <c:varyColors val="0"/>
        <c:ser>
          <c:idx val="0"/>
          <c:order val="0"/>
          <c:tx>
            <c:strRef>
              <c:f>'Device model with highest users'!$G$3:$G$4</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users'!$F$5:$F$7</c:f>
              <c:strCache>
                <c:ptCount val="2"/>
                <c:pt idx="0">
                  <c:v>Android</c:v>
                </c:pt>
                <c:pt idx="1">
                  <c:v>iOS</c:v>
                </c:pt>
              </c:strCache>
            </c:strRef>
          </c:cat>
          <c:val>
            <c:numRef>
              <c:f>'Device model with highest users'!$G$5:$G$7</c:f>
              <c:numCache>
                <c:formatCode>General</c:formatCode>
                <c:ptCount val="2"/>
                <c:pt idx="0">
                  <c:v>262</c:v>
                </c:pt>
                <c:pt idx="1">
                  <c:v>74</c:v>
                </c:pt>
              </c:numCache>
            </c:numRef>
          </c:val>
          <c:extLst>
            <c:ext xmlns:c16="http://schemas.microsoft.com/office/drawing/2014/chart" uri="{C3380CC4-5D6E-409C-BE32-E72D297353CC}">
              <c16:uniqueId val="{00000000-5E5D-415F-A063-84AE3D57B119}"/>
            </c:ext>
          </c:extLst>
        </c:ser>
        <c:ser>
          <c:idx val="1"/>
          <c:order val="1"/>
          <c:tx>
            <c:strRef>
              <c:f>'Device model with highest users'!$H$3:$H$4</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users'!$F$5:$F$7</c:f>
              <c:strCache>
                <c:ptCount val="2"/>
                <c:pt idx="0">
                  <c:v>Android</c:v>
                </c:pt>
                <c:pt idx="1">
                  <c:v>iOS</c:v>
                </c:pt>
              </c:strCache>
            </c:strRef>
          </c:cat>
          <c:val>
            <c:numRef>
              <c:f>'Device model with highest users'!$H$5:$H$7</c:f>
              <c:numCache>
                <c:formatCode>General</c:formatCode>
                <c:ptCount val="2"/>
                <c:pt idx="0">
                  <c:v>292</c:v>
                </c:pt>
                <c:pt idx="1">
                  <c:v>72</c:v>
                </c:pt>
              </c:numCache>
            </c:numRef>
          </c:val>
          <c:extLst>
            <c:ext xmlns:c16="http://schemas.microsoft.com/office/drawing/2014/chart" uri="{C3380CC4-5D6E-409C-BE32-E72D297353CC}">
              <c16:uniqueId val="{00000001-5E5D-415F-A063-84AE3D57B119}"/>
            </c:ext>
          </c:extLst>
        </c:ser>
        <c:dLbls>
          <c:dLblPos val="inEnd"/>
          <c:showLegendKey val="0"/>
          <c:showVal val="1"/>
          <c:showCatName val="0"/>
          <c:showSerName val="0"/>
          <c:showPercent val="0"/>
          <c:showBubbleSize val="0"/>
        </c:dLbls>
        <c:gapWidth val="65"/>
        <c:axId val="409531272"/>
        <c:axId val="409527336"/>
      </c:barChart>
      <c:catAx>
        <c:axId val="409531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527336"/>
        <c:crosses val="autoZero"/>
        <c:auto val="1"/>
        <c:lblAlgn val="ctr"/>
        <c:lblOffset val="100"/>
        <c:noMultiLvlLbl val="0"/>
      </c:catAx>
      <c:valAx>
        <c:axId val="409527336"/>
        <c:scaling>
          <c:orientation val="minMax"/>
        </c:scaling>
        <c:delete val="1"/>
        <c:axPos val="l"/>
        <c:numFmt formatCode="General" sourceLinked="1"/>
        <c:majorTickMark val="none"/>
        <c:minorTickMark val="none"/>
        <c:tickLblPos val="nextTo"/>
        <c:crossAx val="40953127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users!PivotTable7</c:name>
    <c:fmtId val="2"/>
  </c:pivotSource>
  <c:chart>
    <c:title>
      <c:tx>
        <c:rich>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r>
              <a:rPr lang="en-US" sz="1200" b="0"/>
              <a:t>User Segmentation by Activity Level</a:t>
            </a:r>
          </a:p>
        </c:rich>
      </c:tx>
      <c:layout>
        <c:manualLayout>
          <c:xMode val="edge"/>
          <c:yMode val="edge"/>
          <c:x val="0.10089714706341595"/>
          <c:y val="5.063294503667566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'Device model with highest users'!$L$4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'Device model with highest users'!$K$5:$K$8</c:f>
              <c:strCache>
                <c:ptCount val="3"/>
                <c:pt idx="0">
                  <c:v>Heavy User</c:v>
                </c:pt>
                <c:pt idx="1">
                  <c:v>Light User</c:v>
                </c:pt>
                <c:pt idx="2">
                  <c:v>Moderate User</c:v>
                </c:pt>
              </c:strCache>
            </c:strRef>
          </c:cat>
          <c:val>
            <c:numRef>
              <c:f>'Device model with highest users'!$L$5:$L$8</c:f>
              <c:numCache>
                <c:formatCode>General</c:formatCode>
                <c:ptCount val="3"/>
                <c:pt idx="0">
                  <c:v>275</c:v>
                </c:pt>
                <c:pt idx="1">
                  <c:v>282</c:v>
                </c:pt>
                <c:pt idx="2">
                  <c:v>143</c:v>
                </c:pt>
              </c:numCache>
            </c:numRef>
          </c:val>
          <c:extLst>
            <c:ext xmlns:c16="http://schemas.microsoft.com/office/drawing/2014/chart" uri="{C3380CC4-5D6E-409C-BE32-E72D297353CC}">
              <c16:uniqueId val="{00000006-B7D9-4E51-8751-86C8CD0E1F4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users!PivotTable3</c:name>
    <c:fmtId val="2"/>
  </c:pivotSource>
  <c:chart>
    <c:title>
      <c:tx>
        <c:rich>
          <a:bodyPr rot="0" spcFirstLastPara="1" vertOverflow="ellipsis" vert="horz" wrap="square" anchor="ctr" anchorCtr="1"/>
          <a:lstStyle/>
          <a:p>
            <a:pPr>
              <a:defRPr sz="1100" b="0" i="0" u="none" strike="noStrike" kern="1200" baseline="0">
                <a:solidFill>
                  <a:schemeClr val="dk1">
                    <a:lumMod val="65000"/>
                    <a:lumOff val="35000"/>
                  </a:schemeClr>
                </a:solidFill>
                <a:effectLst/>
                <a:latin typeface="+mn-lt"/>
                <a:ea typeface="+mn-ea"/>
                <a:cs typeface="+mn-cs"/>
              </a:defRPr>
            </a:pPr>
            <a:r>
              <a:rPr lang="en-US" sz="1100" b="0" i="0" u="none" strike="noStrike" baseline="0">
                <a:effectLst/>
              </a:rPr>
              <a:t>Distinct Count of Apps Installed by Device Model</a:t>
            </a:r>
            <a:endParaRPr lang="en-US" sz="1100"/>
          </a:p>
        </c:rich>
      </c:tx>
      <c:layout>
        <c:manualLayout>
          <c:xMode val="edge"/>
          <c:yMode val="edge"/>
          <c:x val="0.14800167024576474"/>
          <c:y val="7.547169811320754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2666630519280324E-2"/>
          <c:y val="0.23189153134190191"/>
          <c:w val="0.91443796553448553"/>
          <c:h val="0.43301209990260653"/>
        </c:manualLayout>
      </c:layout>
      <c:barChart>
        <c:barDir val="col"/>
        <c:grouping val="clustered"/>
        <c:varyColors val="0"/>
        <c:ser>
          <c:idx val="0"/>
          <c:order val="0"/>
          <c:tx>
            <c:strRef>
              <c:f>'Device model with highest users'!$C$13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users'!$B$14:$B$19</c:f>
              <c:strCache>
                <c:ptCount val="5"/>
                <c:pt idx="0">
                  <c:v>iPhone 12</c:v>
                </c:pt>
                <c:pt idx="1">
                  <c:v>Xiaomi Mi 11</c:v>
                </c:pt>
                <c:pt idx="2">
                  <c:v>Samsung Galaxy S21</c:v>
                </c:pt>
                <c:pt idx="3">
                  <c:v>Google Pixel 5</c:v>
                </c:pt>
                <c:pt idx="4">
                  <c:v>OnePlus 9</c:v>
                </c:pt>
              </c:strCache>
            </c:strRef>
          </c:cat>
          <c:val>
            <c:numRef>
              <c:f>'Device model with highest users'!$C$14:$C$19</c:f>
              <c:numCache>
                <c:formatCode>General</c:formatCode>
                <c:ptCount val="5"/>
                <c:pt idx="0">
                  <c:v>75</c:v>
                </c:pt>
                <c:pt idx="1">
                  <c:v>72</c:v>
                </c:pt>
                <c:pt idx="2">
                  <c:v>68</c:v>
                </c:pt>
                <c:pt idx="3">
                  <c:v>66</c:v>
                </c:pt>
                <c:pt idx="4">
                  <c:v>64</c:v>
                </c:pt>
              </c:numCache>
            </c:numRef>
          </c:val>
          <c:extLst>
            <c:ext xmlns:c16="http://schemas.microsoft.com/office/drawing/2014/chart" uri="{C3380CC4-5D6E-409C-BE32-E72D297353CC}">
              <c16:uniqueId val="{00000000-93B4-413E-BDEF-06A231019551}"/>
            </c:ext>
          </c:extLst>
        </c:ser>
        <c:dLbls>
          <c:dLblPos val="inEnd"/>
          <c:showLegendKey val="0"/>
          <c:showVal val="1"/>
          <c:showCatName val="0"/>
          <c:showSerName val="0"/>
          <c:showPercent val="0"/>
          <c:showBubbleSize val="0"/>
        </c:dLbls>
        <c:gapWidth val="41"/>
        <c:axId val="470609824"/>
        <c:axId val="470610152"/>
      </c:barChart>
      <c:catAx>
        <c:axId val="47060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70610152"/>
        <c:crosses val="autoZero"/>
        <c:auto val="1"/>
        <c:lblAlgn val="ctr"/>
        <c:lblOffset val="100"/>
        <c:noMultiLvlLbl val="0"/>
      </c:catAx>
      <c:valAx>
        <c:axId val="470610152"/>
        <c:scaling>
          <c:orientation val="minMax"/>
        </c:scaling>
        <c:delete val="1"/>
        <c:axPos val="l"/>
        <c:numFmt formatCode="General" sourceLinked="1"/>
        <c:majorTickMark val="none"/>
        <c:minorTickMark val="none"/>
        <c:tickLblPos val="nextTo"/>
        <c:crossAx val="470609824"/>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users!PivotTable5</c:name>
    <c:fmtId val="2"/>
  </c:pivotSource>
  <c:chart>
    <c:title>
      <c:tx>
        <c:rich>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r>
              <a:rPr lang="en-US" sz="1200" b="0"/>
              <a:t>Average App Usage Time </a:t>
            </a:r>
          </a:p>
        </c:rich>
      </c:tx>
      <c:layout>
        <c:manualLayout>
          <c:xMode val="edge"/>
          <c:yMode val="edge"/>
          <c:x val="0.13505140308201388"/>
          <c:y val="5.095541401273885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2773210375323012"/>
          <c:y val="0.27801269599226636"/>
          <c:w val="0.54772182146048498"/>
          <c:h val="0.62284458924080355"/>
        </c:manualLayout>
      </c:layout>
      <c:barChart>
        <c:barDir val="bar"/>
        <c:grouping val="clustered"/>
        <c:varyColors val="0"/>
        <c:ser>
          <c:idx val="0"/>
          <c:order val="0"/>
          <c:tx>
            <c:strRef>
              <c:f>'Device model with highest users'!$G$11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users'!$F$12:$F$17</c:f>
              <c:strCache>
                <c:ptCount val="5"/>
                <c:pt idx="0">
                  <c:v>Google Pixel 5</c:v>
                </c:pt>
                <c:pt idx="1">
                  <c:v>iPhone 12</c:v>
                </c:pt>
                <c:pt idx="2">
                  <c:v>OnePlus 9</c:v>
                </c:pt>
                <c:pt idx="3">
                  <c:v>Samsung Galaxy S21</c:v>
                </c:pt>
                <c:pt idx="4">
                  <c:v>Xiaomi Mi 11</c:v>
                </c:pt>
              </c:strCache>
            </c:strRef>
          </c:cat>
          <c:val>
            <c:numRef>
              <c:f>'Device model with highest users'!$G$12:$G$17</c:f>
              <c:numCache>
                <c:formatCode>0</c:formatCode>
                <c:ptCount val="5"/>
                <c:pt idx="0">
                  <c:v>267.78873239436621</c:v>
                </c:pt>
                <c:pt idx="1">
                  <c:v>282.02054794520546</c:v>
                </c:pt>
                <c:pt idx="2">
                  <c:v>270.38345864661653</c:v>
                </c:pt>
                <c:pt idx="3">
                  <c:v>266.42105263157896</c:v>
                </c:pt>
                <c:pt idx="4">
                  <c:v>268.45205479452056</c:v>
                </c:pt>
              </c:numCache>
            </c:numRef>
          </c:val>
          <c:extLst>
            <c:ext xmlns:c16="http://schemas.microsoft.com/office/drawing/2014/chart" uri="{C3380CC4-5D6E-409C-BE32-E72D297353CC}">
              <c16:uniqueId val="{00000000-7651-4829-A461-192B13B73ECD}"/>
            </c:ext>
          </c:extLst>
        </c:ser>
        <c:dLbls>
          <c:dLblPos val="inEnd"/>
          <c:showLegendKey val="0"/>
          <c:showVal val="1"/>
          <c:showCatName val="0"/>
          <c:showSerName val="0"/>
          <c:showPercent val="0"/>
          <c:showBubbleSize val="0"/>
        </c:dLbls>
        <c:gapWidth val="65"/>
        <c:axId val="470558000"/>
        <c:axId val="470550456"/>
      </c:barChart>
      <c:catAx>
        <c:axId val="4705580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0550456"/>
        <c:crosses val="autoZero"/>
        <c:auto val="1"/>
        <c:lblAlgn val="ctr"/>
        <c:lblOffset val="100"/>
        <c:noMultiLvlLbl val="0"/>
      </c:catAx>
      <c:valAx>
        <c:axId val="470550456"/>
        <c:scaling>
          <c:orientation val="minMax"/>
        </c:scaling>
        <c:delete val="1"/>
        <c:axPos val="b"/>
        <c:numFmt formatCode="0" sourceLinked="1"/>
        <c:majorTickMark val="none"/>
        <c:minorTickMark val="none"/>
        <c:tickLblPos val="nextTo"/>
        <c:crossAx val="470558000"/>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users!PivotTable8</c:name>
    <c:fmtId val="2"/>
  </c:pivotSource>
  <c:chart>
    <c:title>
      <c:tx>
        <c:rich>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r>
              <a:rPr lang="en-US" sz="1200" b="0" i="0" u="none" strike="noStrike" baseline="0"/>
              <a:t>User Behavior Classification by Age Group</a:t>
            </a:r>
            <a:endParaRPr lang="en-US" sz="1200" b="0"/>
          </a:p>
        </c:rich>
      </c:tx>
      <c:layout/>
      <c:overlay val="0"/>
      <c:spPr>
        <a:no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95901761486393E-2"/>
          <c:y val="0.27834096319355428"/>
          <c:w val="0.75962628524645426"/>
          <c:h val="0.55854133858267718"/>
        </c:manualLayout>
      </c:layout>
      <c:bar3DChart>
        <c:barDir val="col"/>
        <c:grouping val="clustered"/>
        <c:varyColors val="0"/>
        <c:ser>
          <c:idx val="0"/>
          <c:order val="0"/>
          <c:tx>
            <c:strRef>
              <c:f>'Device model with highest users'!$L$11:$L$12</c:f>
              <c:strCache>
                <c:ptCount val="1"/>
                <c:pt idx="0">
                  <c:v>18 - 24</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cat>
            <c:strRef>
              <c:f>'Device model with highest users'!$K$13:$K$16</c:f>
              <c:strCache>
                <c:ptCount val="3"/>
                <c:pt idx="0">
                  <c:v>Heavy User</c:v>
                </c:pt>
                <c:pt idx="1">
                  <c:v>Light User</c:v>
                </c:pt>
                <c:pt idx="2">
                  <c:v>Moderate User</c:v>
                </c:pt>
              </c:strCache>
            </c:strRef>
          </c:cat>
          <c:val>
            <c:numRef>
              <c:f>'Device model with highest users'!$L$13:$L$16</c:f>
              <c:numCache>
                <c:formatCode>General</c:formatCode>
                <c:ptCount val="3"/>
                <c:pt idx="0">
                  <c:v>53</c:v>
                </c:pt>
                <c:pt idx="1">
                  <c:v>31</c:v>
                </c:pt>
                <c:pt idx="2">
                  <c:v>26</c:v>
                </c:pt>
              </c:numCache>
            </c:numRef>
          </c:val>
          <c:extLst>
            <c:ext xmlns:c16="http://schemas.microsoft.com/office/drawing/2014/chart" uri="{C3380CC4-5D6E-409C-BE32-E72D297353CC}">
              <c16:uniqueId val="{00000010-AAF6-470E-A8AB-39A0088BEAE1}"/>
            </c:ext>
          </c:extLst>
        </c:ser>
        <c:ser>
          <c:idx val="1"/>
          <c:order val="1"/>
          <c:tx>
            <c:strRef>
              <c:f>'Device model with highest users'!$M$11:$M$12</c:f>
              <c:strCache>
                <c:ptCount val="1"/>
                <c:pt idx="0">
                  <c:v>25 - 34</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users'!$K$13:$K$16</c:f>
              <c:strCache>
                <c:ptCount val="3"/>
                <c:pt idx="0">
                  <c:v>Heavy User</c:v>
                </c:pt>
                <c:pt idx="1">
                  <c:v>Light User</c:v>
                </c:pt>
                <c:pt idx="2">
                  <c:v>Moderate User</c:v>
                </c:pt>
              </c:strCache>
            </c:strRef>
          </c:cat>
          <c:val>
            <c:numRef>
              <c:f>'Device model with highest users'!$M$13:$M$16</c:f>
              <c:numCache>
                <c:formatCode>General</c:formatCode>
                <c:ptCount val="3"/>
                <c:pt idx="0">
                  <c:v>63</c:v>
                </c:pt>
                <c:pt idx="1">
                  <c:v>86</c:v>
                </c:pt>
                <c:pt idx="2">
                  <c:v>33</c:v>
                </c:pt>
              </c:numCache>
            </c:numRef>
          </c:val>
          <c:extLst>
            <c:ext xmlns:c16="http://schemas.microsoft.com/office/drawing/2014/chart" uri="{C3380CC4-5D6E-409C-BE32-E72D297353CC}">
              <c16:uniqueId val="{0000001D-AAF6-470E-A8AB-39A0088BEAE1}"/>
            </c:ext>
          </c:extLst>
        </c:ser>
        <c:ser>
          <c:idx val="2"/>
          <c:order val="2"/>
          <c:tx>
            <c:strRef>
              <c:f>'Device model with highest users'!$N$11:$N$12</c:f>
              <c:strCache>
                <c:ptCount val="1"/>
                <c:pt idx="0">
                  <c:v>35 - 44</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users'!$K$13:$K$16</c:f>
              <c:strCache>
                <c:ptCount val="3"/>
                <c:pt idx="0">
                  <c:v>Heavy User</c:v>
                </c:pt>
                <c:pt idx="1">
                  <c:v>Light User</c:v>
                </c:pt>
                <c:pt idx="2">
                  <c:v>Moderate User</c:v>
                </c:pt>
              </c:strCache>
            </c:strRef>
          </c:cat>
          <c:val>
            <c:numRef>
              <c:f>'Device model with highest users'!$N$13:$N$16</c:f>
              <c:numCache>
                <c:formatCode>General</c:formatCode>
                <c:ptCount val="3"/>
                <c:pt idx="0">
                  <c:v>54</c:v>
                </c:pt>
                <c:pt idx="1">
                  <c:v>74</c:v>
                </c:pt>
                <c:pt idx="2">
                  <c:v>34</c:v>
                </c:pt>
              </c:numCache>
            </c:numRef>
          </c:val>
          <c:extLst>
            <c:ext xmlns:c16="http://schemas.microsoft.com/office/drawing/2014/chart" uri="{C3380CC4-5D6E-409C-BE32-E72D297353CC}">
              <c16:uniqueId val="{0000001E-AAF6-470E-A8AB-39A0088BEAE1}"/>
            </c:ext>
          </c:extLst>
        </c:ser>
        <c:ser>
          <c:idx val="3"/>
          <c:order val="3"/>
          <c:tx>
            <c:strRef>
              <c:f>'Device model with highest users'!$O$11:$O$12</c:f>
              <c:strCache>
                <c:ptCount val="1"/>
                <c:pt idx="0">
                  <c:v>45 - 54</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users'!$K$13:$K$16</c:f>
              <c:strCache>
                <c:ptCount val="3"/>
                <c:pt idx="0">
                  <c:v>Heavy User</c:v>
                </c:pt>
                <c:pt idx="1">
                  <c:v>Light User</c:v>
                </c:pt>
                <c:pt idx="2">
                  <c:v>Moderate User</c:v>
                </c:pt>
              </c:strCache>
            </c:strRef>
          </c:cat>
          <c:val>
            <c:numRef>
              <c:f>'Device model with highest users'!$O$13:$O$16</c:f>
              <c:numCache>
                <c:formatCode>General</c:formatCode>
                <c:ptCount val="3"/>
                <c:pt idx="0">
                  <c:v>77</c:v>
                </c:pt>
                <c:pt idx="1">
                  <c:v>62</c:v>
                </c:pt>
                <c:pt idx="2">
                  <c:v>25</c:v>
                </c:pt>
              </c:numCache>
            </c:numRef>
          </c:val>
          <c:extLst>
            <c:ext xmlns:c16="http://schemas.microsoft.com/office/drawing/2014/chart" uri="{C3380CC4-5D6E-409C-BE32-E72D297353CC}">
              <c16:uniqueId val="{0000001F-AAF6-470E-A8AB-39A0088BEAE1}"/>
            </c:ext>
          </c:extLst>
        </c:ser>
        <c:ser>
          <c:idx val="4"/>
          <c:order val="4"/>
          <c:tx>
            <c:strRef>
              <c:f>'Device model with highest users'!$P$11:$P$12</c:f>
              <c:strCache>
                <c:ptCount val="1"/>
                <c:pt idx="0">
                  <c:v>55 - 59</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users'!$K$13:$K$16</c:f>
              <c:strCache>
                <c:ptCount val="3"/>
                <c:pt idx="0">
                  <c:v>Heavy User</c:v>
                </c:pt>
                <c:pt idx="1">
                  <c:v>Light User</c:v>
                </c:pt>
                <c:pt idx="2">
                  <c:v>Moderate User</c:v>
                </c:pt>
              </c:strCache>
            </c:strRef>
          </c:cat>
          <c:val>
            <c:numRef>
              <c:f>'Device model with highest users'!$P$13:$P$16</c:f>
              <c:numCache>
                <c:formatCode>General</c:formatCode>
                <c:ptCount val="3"/>
                <c:pt idx="0">
                  <c:v>28</c:v>
                </c:pt>
                <c:pt idx="1">
                  <c:v>29</c:v>
                </c:pt>
                <c:pt idx="2">
                  <c:v>25</c:v>
                </c:pt>
              </c:numCache>
            </c:numRef>
          </c:val>
          <c:extLst>
            <c:ext xmlns:c16="http://schemas.microsoft.com/office/drawing/2014/chart" uri="{C3380CC4-5D6E-409C-BE32-E72D297353CC}">
              <c16:uniqueId val="{00000020-AAF6-470E-A8AB-39A0088BEAE1}"/>
            </c:ext>
          </c:extLst>
        </c:ser>
        <c:dLbls>
          <c:showLegendKey val="0"/>
          <c:showVal val="1"/>
          <c:showCatName val="0"/>
          <c:showSerName val="0"/>
          <c:showPercent val="0"/>
          <c:showBubbleSize val="0"/>
        </c:dLbls>
        <c:gapWidth val="65"/>
        <c:shape val="box"/>
        <c:axId val="470573088"/>
        <c:axId val="470575056"/>
        <c:axId val="0"/>
      </c:bar3DChart>
      <c:catAx>
        <c:axId val="470573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0575056"/>
        <c:crosses val="autoZero"/>
        <c:auto val="1"/>
        <c:lblAlgn val="ctr"/>
        <c:lblOffset val="100"/>
        <c:noMultiLvlLbl val="0"/>
      </c:catAx>
      <c:valAx>
        <c:axId val="470575056"/>
        <c:scaling>
          <c:orientation val="minMax"/>
        </c:scaling>
        <c:delete val="1"/>
        <c:axPos val="l"/>
        <c:numFmt formatCode="General" sourceLinked="1"/>
        <c:majorTickMark val="out"/>
        <c:minorTickMark val="none"/>
        <c:tickLblPos val="nextTo"/>
        <c:crossAx val="470573088"/>
        <c:crosses val="autoZero"/>
        <c:crossBetween val="between"/>
      </c:valAx>
      <c:spPr>
        <a:noFill/>
        <a:ln>
          <a:noFill/>
        </a:ln>
        <a:effectLst/>
      </c:spPr>
    </c:plotArea>
    <c:legend>
      <c:legendPos val="r"/>
      <c:layout>
        <c:manualLayout>
          <c:xMode val="edge"/>
          <c:yMode val="edge"/>
          <c:x val="0.8126334208223972"/>
          <c:y val="0.24781036745406823"/>
          <c:w val="0.10999075384502159"/>
          <c:h val="0.63538624097680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i="0" u="none" strike="noStrike" baseline="0">
                <a:effectLst/>
              </a:rPr>
              <a:t>Destribution of Operation System</a:t>
            </a:r>
            <a:r>
              <a:rPr lang="en-US" sz="1200" b="0" i="0" u="none" strike="noStrike" baseline="0"/>
              <a:t> </a:t>
            </a:r>
            <a:endParaRPr lang="en-US" sz="1200" b="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'Device model with highest users'!$C$41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'Device model with highest users'!$B$42:$B$44</c:f>
              <c:strCache>
                <c:ptCount val="2"/>
                <c:pt idx="0">
                  <c:v>Android</c:v>
                </c:pt>
                <c:pt idx="1">
                  <c:v>iOS</c:v>
                </c:pt>
              </c:strCache>
            </c:strRef>
          </c:cat>
          <c:val>
            <c:numRef>
              <c:f>'Device model with highest users'!$C$42:$C$44</c:f>
              <c:numCache>
                <c:formatCode>General</c:formatCode>
                <c:ptCount val="2"/>
                <c:pt idx="0">
                  <c:v>554</c:v>
                </c:pt>
                <c:pt idx="1">
                  <c:v>146</c:v>
                </c:pt>
              </c:numCache>
            </c:numRef>
          </c:val>
          <c:extLst>
            <c:ext xmlns:c16="http://schemas.microsoft.com/office/drawing/2014/chart" uri="{C3380CC4-5D6E-409C-BE32-E72D297353CC}">
              <c16:uniqueId val="{00000004-5A73-4A1A-B990-419C083654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users!PivotTable10</c:name>
    <c:fmtId val="2"/>
  </c:pivotSource>
  <c:chart>
    <c:title>
      <c:tx>
        <c:rich>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r>
              <a:rPr lang="en-US" sz="1200" b="0"/>
              <a:t>Average data Usage by OS  </a:t>
            </a:r>
          </a:p>
        </c:rich>
      </c:tx>
      <c:layout>
        <c:manualLayout>
          <c:xMode val="edge"/>
          <c:yMode val="edge"/>
          <c:x val="0.2720871217026003"/>
          <c:y val="5.840671539258395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'Device model with highest users'!$G$41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'Device model with highest users'!$F$42:$F$44</c:f>
              <c:strCache>
                <c:ptCount val="2"/>
                <c:pt idx="0">
                  <c:v>Android</c:v>
                </c:pt>
                <c:pt idx="1">
                  <c:v>iOS</c:v>
                </c:pt>
              </c:strCache>
            </c:strRef>
          </c:cat>
          <c:val>
            <c:numRef>
              <c:f>'Device model with highest users'!$G$42:$G$44</c:f>
              <c:numCache>
                <c:formatCode>0</c:formatCode>
                <c:ptCount val="2"/>
                <c:pt idx="0">
                  <c:v>920.31768953068593</c:v>
                </c:pt>
                <c:pt idx="1">
                  <c:v>965.50684931506851</c:v>
                </c:pt>
              </c:numCache>
            </c:numRef>
          </c:val>
          <c:extLst>
            <c:ext xmlns:c16="http://schemas.microsoft.com/office/drawing/2014/chart" uri="{C3380CC4-5D6E-409C-BE32-E72D297353CC}">
              <c16:uniqueId val="{00000004-6F82-4B2C-A6E0-6BBAED25F0F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users!PivotTable11</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a:t>Average Installed Apps per User Behavior Category</a:t>
            </a:r>
          </a:p>
        </c:rich>
      </c:tx>
      <c:layout>
        <c:manualLayout>
          <c:xMode val="edge"/>
          <c:yMode val="edge"/>
          <c:x val="0.16999127527793856"/>
          <c:y val="0"/>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166943879934421"/>
          <c:y val="0.22938115765171696"/>
          <c:w val="0.82439056398438004"/>
          <c:h val="0.52008312868513473"/>
        </c:manualLayout>
      </c:layout>
      <c:barChart>
        <c:barDir val="col"/>
        <c:grouping val="clustered"/>
        <c:varyColors val="0"/>
        <c:ser>
          <c:idx val="0"/>
          <c:order val="0"/>
          <c:tx>
            <c:strRef>
              <c:f>'Device model with highest users'!$K$41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users'!$J$42:$J$45</c:f>
              <c:strCache>
                <c:ptCount val="3"/>
                <c:pt idx="0">
                  <c:v>Heavy User</c:v>
                </c:pt>
                <c:pt idx="1">
                  <c:v>Light User</c:v>
                </c:pt>
                <c:pt idx="2">
                  <c:v>Moderate User</c:v>
                </c:pt>
              </c:strCache>
            </c:strRef>
          </c:cat>
          <c:val>
            <c:numRef>
              <c:f>'Device model with highest users'!$K$42:$K$45</c:f>
              <c:numCache>
                <c:formatCode>0</c:formatCode>
                <c:ptCount val="3"/>
                <c:pt idx="0">
                  <c:v>79.48</c:v>
                </c:pt>
                <c:pt idx="1">
                  <c:v>22.943262411347519</c:v>
                </c:pt>
                <c:pt idx="2">
                  <c:v>50</c:v>
                </c:pt>
              </c:numCache>
            </c:numRef>
          </c:val>
          <c:extLst>
            <c:ext xmlns:c16="http://schemas.microsoft.com/office/drawing/2014/chart" uri="{C3380CC4-5D6E-409C-BE32-E72D297353CC}">
              <c16:uniqueId val="{00000000-2C37-496F-9944-691413F69354}"/>
            </c:ext>
          </c:extLst>
        </c:ser>
        <c:dLbls>
          <c:dLblPos val="inEnd"/>
          <c:showLegendKey val="0"/>
          <c:showVal val="1"/>
          <c:showCatName val="0"/>
          <c:showSerName val="0"/>
          <c:showPercent val="0"/>
          <c:showBubbleSize val="0"/>
        </c:dLbls>
        <c:gapWidth val="41"/>
        <c:axId val="584770592"/>
        <c:axId val="584772888"/>
      </c:barChart>
      <c:catAx>
        <c:axId val="58477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84772888"/>
        <c:crosses val="autoZero"/>
        <c:auto val="1"/>
        <c:lblAlgn val="ctr"/>
        <c:lblOffset val="100"/>
        <c:noMultiLvlLbl val="0"/>
      </c:catAx>
      <c:valAx>
        <c:axId val="584772888"/>
        <c:scaling>
          <c:orientation val="minMax"/>
        </c:scaling>
        <c:delete val="1"/>
        <c:axPos val="l"/>
        <c:numFmt formatCode="0" sourceLinked="1"/>
        <c:majorTickMark val="none"/>
        <c:minorTickMark val="none"/>
        <c:tickLblPos val="nextTo"/>
        <c:crossAx val="584770592"/>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users!PivotTable15</c:name>
    <c:fmtId val="4"/>
  </c:pivotSource>
  <c:chart>
    <c:title>
      <c:tx>
        <c:rich>
          <a:bodyPr rot="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r>
              <a:rPr lang="en-US" sz="1200" b="0" i="0" baseline="0">
                <a:effectLst/>
              </a:rPr>
              <a:t>Device Model with Highest User</a:t>
            </a:r>
            <a:endParaRPr lang="en-US" sz="1200">
              <a:effectLst/>
            </a:endParaRPr>
          </a:p>
        </c:rich>
      </c:tx>
      <c:layout>
        <c:manualLayout>
          <c:xMode val="edge"/>
          <c:yMode val="edge"/>
          <c:x val="0.21298685712613061"/>
          <c:y val="6.083173426851055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3953068464835309E-2"/>
          <c:y val="0.26411796868748832"/>
          <c:w val="0.91821561338289959"/>
          <c:h val="0.43182094885198175"/>
        </c:manualLayout>
      </c:layout>
      <c:barChart>
        <c:barDir val="col"/>
        <c:grouping val="clustered"/>
        <c:varyColors val="0"/>
        <c:ser>
          <c:idx val="0"/>
          <c:order val="0"/>
          <c:tx>
            <c:strRef>
              <c:f>'Device model with highest users'!$C$48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users'!$B$49:$B$54</c:f>
              <c:strCache>
                <c:ptCount val="5"/>
                <c:pt idx="0">
                  <c:v>Xiaomi Mi 11</c:v>
                </c:pt>
                <c:pt idx="1">
                  <c:v>iPhone 12</c:v>
                </c:pt>
                <c:pt idx="2">
                  <c:v>Google Pixel 5</c:v>
                </c:pt>
                <c:pt idx="3">
                  <c:v>Samsung Galaxy S21</c:v>
                </c:pt>
                <c:pt idx="4">
                  <c:v>OnePlus 9</c:v>
                </c:pt>
              </c:strCache>
            </c:strRef>
          </c:cat>
          <c:val>
            <c:numRef>
              <c:f>'Device model with highest users'!$C$49:$C$54</c:f>
              <c:numCache>
                <c:formatCode>General</c:formatCode>
                <c:ptCount val="5"/>
                <c:pt idx="0">
                  <c:v>146</c:v>
                </c:pt>
                <c:pt idx="1">
                  <c:v>146</c:v>
                </c:pt>
                <c:pt idx="2">
                  <c:v>142</c:v>
                </c:pt>
                <c:pt idx="3">
                  <c:v>133</c:v>
                </c:pt>
                <c:pt idx="4">
                  <c:v>133</c:v>
                </c:pt>
              </c:numCache>
            </c:numRef>
          </c:val>
          <c:extLst>
            <c:ext xmlns:c16="http://schemas.microsoft.com/office/drawing/2014/chart" uri="{C3380CC4-5D6E-409C-BE32-E72D297353CC}">
              <c16:uniqueId val="{00000000-A36E-4AB1-9379-98C3843764BE}"/>
            </c:ext>
          </c:extLst>
        </c:ser>
        <c:dLbls>
          <c:dLblPos val="inEnd"/>
          <c:showLegendKey val="0"/>
          <c:showVal val="1"/>
          <c:showCatName val="0"/>
          <c:showSerName val="0"/>
          <c:showPercent val="0"/>
          <c:showBubbleSize val="0"/>
        </c:dLbls>
        <c:gapWidth val="41"/>
        <c:axId val="381640912"/>
        <c:axId val="381641240"/>
      </c:barChart>
      <c:catAx>
        <c:axId val="38164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1641240"/>
        <c:crosses val="autoZero"/>
        <c:auto val="1"/>
        <c:lblAlgn val="ctr"/>
        <c:lblOffset val="100"/>
        <c:noMultiLvlLbl val="0"/>
      </c:catAx>
      <c:valAx>
        <c:axId val="381641240"/>
        <c:scaling>
          <c:orientation val="minMax"/>
        </c:scaling>
        <c:delete val="1"/>
        <c:axPos val="l"/>
        <c:numFmt formatCode="General" sourceLinked="1"/>
        <c:majorTickMark val="none"/>
        <c:minorTickMark val="none"/>
        <c:tickLblPos val="nextTo"/>
        <c:crossAx val="381640912"/>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[user_behavior_dataset.xlsx]Device model with highest users!PivotTable23</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a:t>Average</a:t>
            </a:r>
            <a:r>
              <a:rPr lang="en-US" sz="1200" baseline="0"/>
              <a:t> Screen on Time</a:t>
            </a:r>
            <a:endParaRPr lang="en-US" sz="1200"/>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2151299134945412E-2"/>
          <c:y val="0.20404653365697709"/>
          <c:w val="0.92439862542955331"/>
          <c:h val="0.53491008725260691"/>
        </c:manualLayout>
      </c:layout>
      <c:barChart>
        <c:barDir val="col"/>
        <c:grouping val="clustered"/>
        <c:varyColors val="0"/>
        <c:ser>
          <c:idx val="0"/>
          <c:order val="0"/>
          <c:tx>
            <c:strRef>
              <c:f>'Device model with highest users'!$V$31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'Device model with highest users'!$U$32:$U$37</c:f>
              <c:strCache>
                <c:ptCount val="5"/>
                <c:pt idx="0">
                  <c:v>Google Pixel 5</c:v>
                </c:pt>
                <c:pt idx="1">
                  <c:v>iPhone 12</c:v>
                </c:pt>
                <c:pt idx="2">
                  <c:v>OnePlus 9</c:v>
                </c:pt>
                <c:pt idx="3">
                  <c:v>Samsung Galaxy S21</c:v>
                </c:pt>
                <c:pt idx="4">
                  <c:v>Xiaomi Mi 11</c:v>
                </c:pt>
              </c:strCache>
            </c:strRef>
          </c:cat>
          <c:val>
            <c:numRef>
              <c:f>'Device model with highest users'!$V$32:$V$37</c:f>
              <c:numCache>
                <c:formatCode>0.0</c:formatCode>
                <c:ptCount val="5"/>
                <c:pt idx="0">
                  <c:v>5.0760563380281685</c:v>
                </c:pt>
                <c:pt idx="1">
                  <c:v>5.4308219178082187</c:v>
                </c:pt>
                <c:pt idx="2">
                  <c:v>5.2413533834586472</c:v>
                </c:pt>
                <c:pt idx="3">
                  <c:v>5.3180451127819541</c:v>
                </c:pt>
                <c:pt idx="4">
                  <c:v>5.2931506849315069</c:v>
                </c:pt>
              </c:numCache>
            </c:numRef>
          </c:val>
          <c:extLst>
            <c:ext xmlns:c16="http://schemas.microsoft.com/office/drawing/2014/chart" uri="{C3380CC4-5D6E-409C-BE32-E72D297353CC}">
              <c16:uniqueId val="{00000001-B618-40F0-8F00-25E4929A9DBC}"/>
            </c:ext>
          </c:extLst>
        </c:ser>
        <c:dLbls>
          <c:dLblPos val="inEnd"/>
          <c:showLegendKey val="0"/>
          <c:showVal val="1"/>
          <c:showCatName val="0"/>
          <c:showSerName val="0"/>
          <c:showPercent val="0"/>
          <c:showBubbleSize val="0"/>
        </c:dLbls>
        <c:gapWidth val="41"/>
        <c:axId val="380148800"/>
        <c:axId val="380145848"/>
      </c:barChart>
      <c:catAx>
        <c:axId val="38014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0145848"/>
        <c:crosses val="autoZero"/>
        <c:auto val="1"/>
        <c:lblAlgn val="ctr"/>
        <c:lblOffset val="100"/>
        <c:noMultiLvlLbl val="0"/>
      </c:catAx>
      <c:valAx>
        <c:axId val="380145848"/>
        <c:scaling>
          <c:orientation val="minMax"/>
        </c:scaling>
        <c:delete val="1"/>
        <c:axPos val="l"/>
        <c:numFmt formatCode="0.0" sourceLinked="1"/>
        <c:majorTickMark val="none"/>
        <c:minorTickMark val="none"/>
        <c:tickLblPos val="nextTo"/>
        <c:crossAx val="380148800"/>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07/relationships/hdphoto" Target="../media/hdphoto2.wdp"/><Relationship Id="rId18" Type="http://schemas.microsoft.com/office/2007/relationships/hdphoto" Target="../media/hdphoto4.wdp"/><Relationship Id="rId3" Type="http://schemas.microsoft.com/office/2007/relationships/hdphoto" Target="../media/hdphoto1.wdp"/><Relationship Id="rId7" Type="http://schemas.openxmlformats.org/officeDocument/2006/relationships/chart" Target="../charts/chart5.xml"/><Relationship Id="rId12" Type="http://schemas.openxmlformats.org/officeDocument/2006/relationships/image" Target="../media/image2.png"/><Relationship Id="rId17" Type="http://schemas.openxmlformats.org/officeDocument/2006/relationships/image" Target="../media/image4.png"/><Relationship Id="rId2" Type="http://schemas.openxmlformats.org/officeDocument/2006/relationships/image" Target="../media/image1.png"/><Relationship Id="rId16" Type="http://schemas.openxmlformats.org/officeDocument/2006/relationships/chart" Target="../charts/chart10.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microsoft.com/office/2007/relationships/hdphoto" Target="../media/hdphoto3.wdp"/><Relationship Id="rId10" Type="http://schemas.openxmlformats.org/officeDocument/2006/relationships/chart" Target="../charts/chart8.xml"/><Relationship Id="rId19" Type="http://schemas.openxmlformats.org/officeDocument/2006/relationships/chart" Target="../charts/chart11.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26</xdr:col>
      <xdr:colOff>374276</xdr:colOff>
      <xdr:row>4</xdr:row>
      <xdr:rowOff>182096</xdr:rowOff>
    </xdr:from>
    <xdr:to>
      <xdr:col>31</xdr:col>
      <xdr:colOff>463177</xdr:colOff>
      <xdr:row>12</xdr:row>
      <xdr:rowOff>168089</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508870</xdr:colOff>
      <xdr:row>0</xdr:row>
      <xdr:rowOff>78288</xdr:rowOff>
    </xdr:from>
    <xdr:to>
      <xdr:col>31</xdr:col>
      <xdr:colOff>532280</xdr:colOff>
      <xdr:row>4</xdr:row>
      <xdr:rowOff>78287</xdr:rowOff>
    </xdr:to>
    <xdr:sp macro="" textlink="">
      <xdr:nvSpPr>
        <xdr:cNvPr id="2" name="TextBox 1"/>
        <xdr:cNvSpPr txBox="1"/>
      </xdr:nvSpPr>
      <xdr:spPr>
        <a:xfrm>
          <a:off x="3590488" y="78288"/>
          <a:ext cx="16047821" cy="784411"/>
        </a:xfrm>
        <a:prstGeom prst="roundRect">
          <a:avLst/>
        </a:prstGeom>
        <a:solidFill>
          <a:schemeClr val="tx2"/>
        </a:solidFill>
        <a:ln w="9525" cmpd="sng">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bg1"/>
              </a:solidFill>
              <a:latin typeface="Bahnschrift Condensed" panose="020B0502040204020203" pitchFamily="34" charset="0"/>
            </a:rPr>
            <a:t>   DEVICE</a:t>
          </a:r>
          <a:r>
            <a:rPr lang="en-US" sz="3600" baseline="0">
              <a:solidFill>
                <a:schemeClr val="bg1"/>
              </a:solidFill>
              <a:latin typeface="Bahnschrift Condensed" panose="020B0502040204020203" pitchFamily="34" charset="0"/>
            </a:rPr>
            <a:t> USER BEHAVIOUR DASHBOARD</a:t>
          </a:r>
          <a:endParaRPr lang="en-US" sz="3600">
            <a:solidFill>
              <a:schemeClr val="bg1"/>
            </a:solidFill>
            <a:latin typeface="Bahnschrift Condensed" panose="020B0502040204020203" pitchFamily="34" charset="0"/>
          </a:endParaRPr>
        </a:p>
      </xdr:txBody>
    </xdr:sp>
    <xdr:clientData/>
  </xdr:twoCellAnchor>
  <xdr:twoCellAnchor editAs="oneCell">
    <xdr:from>
      <xdr:col>10</xdr:col>
      <xdr:colOff>452505</xdr:colOff>
      <xdr:row>0</xdr:row>
      <xdr:rowOff>0</xdr:rowOff>
    </xdr:from>
    <xdr:to>
      <xdr:col>11</xdr:col>
      <xdr:colOff>546859</xdr:colOff>
      <xdr:row>4</xdr:row>
      <xdr:rowOff>144956</xdr:rowOff>
    </xdr:to>
    <xdr:pic>
      <xdr:nvPicPr>
        <xdr:cNvPr id="32" name="Picture 31"/>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585039" y="0"/>
          <a:ext cx="707608" cy="927833"/>
        </a:xfrm>
        <a:prstGeom prst="rect">
          <a:avLst/>
        </a:prstGeom>
      </xdr:spPr>
    </xdr:pic>
    <xdr:clientData/>
  </xdr:twoCellAnchor>
  <xdr:twoCellAnchor>
    <xdr:from>
      <xdr:col>17</xdr:col>
      <xdr:colOff>336178</xdr:colOff>
      <xdr:row>22</xdr:row>
      <xdr:rowOff>78067</xdr:rowOff>
    </xdr:from>
    <xdr:to>
      <xdr:col>23</xdr:col>
      <xdr:colOff>588309</xdr:colOff>
      <xdr:row>31</xdr:row>
      <xdr:rowOff>39967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11393</xdr:colOff>
      <xdr:row>4</xdr:row>
      <xdr:rowOff>182095</xdr:rowOff>
    </xdr:from>
    <xdr:to>
      <xdr:col>21</xdr:col>
      <xdr:colOff>98052</xdr:colOff>
      <xdr:row>12</xdr:row>
      <xdr:rowOff>138393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567767</xdr:colOff>
      <xdr:row>13</xdr:row>
      <xdr:rowOff>56028</xdr:rowOff>
    </xdr:from>
    <xdr:to>
      <xdr:col>21</xdr:col>
      <xdr:colOff>42024</xdr:colOff>
      <xdr:row>21</xdr:row>
      <xdr:rowOff>191807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178175</xdr:colOff>
      <xdr:row>5</xdr:row>
      <xdr:rowOff>28015</xdr:rowOff>
    </xdr:from>
    <xdr:to>
      <xdr:col>26</xdr:col>
      <xdr:colOff>308162</xdr:colOff>
      <xdr:row>12</xdr:row>
      <xdr:rowOff>149787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42022</xdr:colOff>
      <xdr:row>22</xdr:row>
      <xdr:rowOff>84042</xdr:rowOff>
    </xdr:from>
    <xdr:to>
      <xdr:col>31</xdr:col>
      <xdr:colOff>462243</xdr:colOff>
      <xdr:row>31</xdr:row>
      <xdr:rowOff>56028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517901</xdr:colOff>
      <xdr:row>13</xdr:row>
      <xdr:rowOff>70037</xdr:rowOff>
    </xdr:from>
    <xdr:to>
      <xdr:col>15</xdr:col>
      <xdr:colOff>518273</xdr:colOff>
      <xdr:row>22</xdr:row>
      <xdr:rowOff>12700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423023</xdr:colOff>
      <xdr:row>22</xdr:row>
      <xdr:rowOff>60885</xdr:rowOff>
    </xdr:from>
    <xdr:to>
      <xdr:col>17</xdr:col>
      <xdr:colOff>252131</xdr:colOff>
      <xdr:row>31</xdr:row>
      <xdr:rowOff>35485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84979</xdr:colOff>
      <xdr:row>13</xdr:row>
      <xdr:rowOff>46878</xdr:rowOff>
    </xdr:from>
    <xdr:to>
      <xdr:col>26</xdr:col>
      <xdr:colOff>364191</xdr:colOff>
      <xdr:row>21</xdr:row>
      <xdr:rowOff>183351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91336</xdr:colOff>
      <xdr:row>0</xdr:row>
      <xdr:rowOff>78288</xdr:rowOff>
    </xdr:from>
    <xdr:to>
      <xdr:col>5</xdr:col>
      <xdr:colOff>456678</xdr:colOff>
      <xdr:row>4</xdr:row>
      <xdr:rowOff>78287</xdr:rowOff>
    </xdr:to>
    <xdr:sp macro="" textlink="">
      <xdr:nvSpPr>
        <xdr:cNvPr id="15" name="Rounded Rectangle 14"/>
        <xdr:cNvSpPr/>
      </xdr:nvSpPr>
      <xdr:spPr>
        <a:xfrm>
          <a:off x="91336" y="78288"/>
          <a:ext cx="3431609" cy="782876"/>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4</xdr:row>
      <xdr:rowOff>165448</xdr:rowOff>
    </xdr:from>
    <xdr:to>
      <xdr:col>3</xdr:col>
      <xdr:colOff>0</xdr:colOff>
      <xdr:row>31</xdr:row>
      <xdr:rowOff>63500</xdr:rowOff>
    </xdr:to>
    <xdr:sp macro="" textlink="">
      <xdr:nvSpPr>
        <xdr:cNvPr id="16" name="Rectangle 15"/>
        <xdr:cNvSpPr/>
      </xdr:nvSpPr>
      <xdr:spPr>
        <a:xfrm>
          <a:off x="127000" y="927448"/>
          <a:ext cx="1701800" cy="5041552"/>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24184</xdr:colOff>
      <xdr:row>40</xdr:row>
      <xdr:rowOff>85894</xdr:rowOff>
    </xdr:from>
    <xdr:to>
      <xdr:col>4</xdr:col>
      <xdr:colOff>584200</xdr:colOff>
      <xdr:row>43</xdr:row>
      <xdr:rowOff>26792</xdr:rowOff>
    </xdr:to>
    <xdr:pic>
      <xdr:nvPicPr>
        <xdr:cNvPr id="17" name="Picture 16"/>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462584" y="7705894"/>
          <a:ext cx="560016" cy="512398"/>
        </a:xfrm>
        <a:prstGeom prst="rect">
          <a:avLst/>
        </a:prstGeom>
      </xdr:spPr>
    </xdr:pic>
    <xdr:clientData/>
  </xdr:twoCellAnchor>
  <xdr:twoCellAnchor editAs="oneCell">
    <xdr:from>
      <xdr:col>0</xdr:col>
      <xdr:colOff>189456</xdr:colOff>
      <xdr:row>5</xdr:row>
      <xdr:rowOff>101514</xdr:rowOff>
    </xdr:from>
    <xdr:to>
      <xdr:col>2</xdr:col>
      <xdr:colOff>548014</xdr:colOff>
      <xdr:row>12</xdr:row>
      <xdr:rowOff>101600</xdr:rowOff>
    </xdr:to>
    <mc:AlternateContent xmlns:mc="http://schemas.openxmlformats.org/markup-compatibility/2006" xmlns:a14="http://schemas.microsoft.com/office/drawing/2010/main">
      <mc:Choice Requires="a14">
        <xdr:graphicFrame macro="">
          <xdr:nvGraphicFramePr>
            <xdr:cNvPr id="18" name="Device Model"/>
            <xdr:cNvGraphicFramePr/>
          </xdr:nvGraphicFramePr>
          <xdr:xfrm>
            <a:off x="0" y="0"/>
            <a:ext cx="0" cy="0"/>
          </xdr:xfrm>
          <a:graphic>
            <a:graphicData uri="http://schemas.microsoft.com/office/drawing/2010/slicer">
              <sle:slicer xmlns:sle="http://schemas.microsoft.com/office/drawing/2010/slicer" name="Device Model"/>
            </a:graphicData>
          </a:graphic>
        </xdr:graphicFrame>
      </mc:Choice>
      <mc:Fallback xmlns="">
        <xdr:sp macro="" textlink="">
          <xdr:nvSpPr>
            <xdr:cNvPr id="0" name=""/>
            <xdr:cNvSpPr>
              <a:spLocks noTextEdit="1"/>
            </xdr:cNvSpPr>
          </xdr:nvSpPr>
          <xdr:spPr>
            <a:xfrm>
              <a:off x="189456" y="1054014"/>
              <a:ext cx="1577758" cy="1333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195719</xdr:colOff>
      <xdr:row>12</xdr:row>
      <xdr:rowOff>171856</xdr:rowOff>
    </xdr:from>
    <xdr:to>
      <xdr:col>2</xdr:col>
      <xdr:colOff>548013</xdr:colOff>
      <xdr:row>16</xdr:row>
      <xdr:rowOff>153066</xdr:rowOff>
    </xdr:to>
    <mc:AlternateContent xmlns:mc="http://schemas.openxmlformats.org/markup-compatibility/2006" xmlns:a14="http://schemas.microsoft.com/office/drawing/2010/main">
      <mc:Choice Requires="a14">
        <xdr:graphicFrame macro="">
          <xdr:nvGraphicFramePr>
            <xdr:cNvPr id="19" name="Operating System"/>
            <xdr:cNvGraphicFramePr/>
          </xdr:nvGraphicFramePr>
          <xdr:xfrm>
            <a:off x="0" y="0"/>
            <a:ext cx="0" cy="0"/>
          </xdr:xfrm>
          <a:graphic>
            <a:graphicData uri="http://schemas.microsoft.com/office/drawing/2010/slicer">
              <sle:slicer xmlns:sle="http://schemas.microsoft.com/office/drawing/2010/slicer" name="Operating System"/>
            </a:graphicData>
          </a:graphic>
        </xdr:graphicFrame>
      </mc:Choice>
      <mc:Fallback xmlns="">
        <xdr:sp macro="" textlink="">
          <xdr:nvSpPr>
            <xdr:cNvPr id="0" name=""/>
            <xdr:cNvSpPr>
              <a:spLocks noTextEdit="1"/>
            </xdr:cNvSpPr>
          </xdr:nvSpPr>
          <xdr:spPr>
            <a:xfrm>
              <a:off x="195719" y="2457856"/>
              <a:ext cx="1571494" cy="743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189457</xdr:colOff>
      <xdr:row>17</xdr:row>
      <xdr:rowOff>32822</xdr:rowOff>
    </xdr:from>
    <xdr:to>
      <xdr:col>2</xdr:col>
      <xdr:colOff>533400</xdr:colOff>
      <xdr:row>22</xdr:row>
      <xdr:rowOff>149297</xdr:rowOff>
    </xdr:to>
    <mc:AlternateContent xmlns:mc="http://schemas.openxmlformats.org/markup-compatibility/2006" xmlns:a14="http://schemas.microsoft.com/office/drawing/2010/main">
      <mc:Choice Requires="a14">
        <xdr:graphicFrame macro="">
          <xdr:nvGraphicFramePr>
            <xdr:cNvPr id="20" name="User Behaviour Classification"/>
            <xdr:cNvGraphicFramePr/>
          </xdr:nvGraphicFramePr>
          <xdr:xfrm>
            <a:off x="0" y="0"/>
            <a:ext cx="0" cy="0"/>
          </xdr:xfrm>
          <a:graphic>
            <a:graphicData uri="http://schemas.microsoft.com/office/drawing/2010/slicer">
              <sle:slicer xmlns:sle="http://schemas.microsoft.com/office/drawing/2010/slicer" name="User Behaviour Classification"/>
            </a:graphicData>
          </a:graphic>
        </xdr:graphicFrame>
      </mc:Choice>
      <mc:Fallback xmlns="">
        <xdr:sp macro="" textlink="">
          <xdr:nvSpPr>
            <xdr:cNvPr id="0" name=""/>
            <xdr:cNvSpPr>
              <a:spLocks noTextEdit="1"/>
            </xdr:cNvSpPr>
          </xdr:nvSpPr>
          <xdr:spPr>
            <a:xfrm>
              <a:off x="189457" y="3271322"/>
              <a:ext cx="1563143" cy="1068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169885</xdr:colOff>
      <xdr:row>23</xdr:row>
      <xdr:rowOff>29053</xdr:rowOff>
    </xdr:from>
    <xdr:to>
      <xdr:col>2</xdr:col>
      <xdr:colOff>546101</xdr:colOff>
      <xdr:row>30</xdr:row>
      <xdr:rowOff>127001</xdr:rowOff>
    </xdr:to>
    <mc:AlternateContent xmlns:mc="http://schemas.openxmlformats.org/markup-compatibility/2006" xmlns:a14="http://schemas.microsoft.com/office/drawing/2010/main">
      <mc:Choice Requires="a14">
        <xdr:graphicFrame macro="">
          <xdr:nvGraphicFramePr>
            <xdr:cNvPr id="21" name="Age-Range"/>
            <xdr:cNvGraphicFramePr/>
          </xdr:nvGraphicFramePr>
          <xdr:xfrm>
            <a:off x="0" y="0"/>
            <a:ext cx="0" cy="0"/>
          </xdr:xfrm>
          <a:graphic>
            <a:graphicData uri="http://schemas.microsoft.com/office/drawing/2010/slicer">
              <sle:slicer xmlns:sle="http://schemas.microsoft.com/office/drawing/2010/slicer" name="Age-Range"/>
            </a:graphicData>
          </a:graphic>
        </xdr:graphicFrame>
      </mc:Choice>
      <mc:Fallback xmlns="">
        <xdr:sp macro="" textlink="">
          <xdr:nvSpPr>
            <xdr:cNvPr id="0" name=""/>
            <xdr:cNvSpPr>
              <a:spLocks noTextEdit="1"/>
            </xdr:cNvSpPr>
          </xdr:nvSpPr>
          <xdr:spPr>
            <a:xfrm>
              <a:off x="169885" y="4410553"/>
              <a:ext cx="1595416" cy="1431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99339</xdr:colOff>
      <xdr:row>5</xdr:row>
      <xdr:rowOff>42022</xdr:rowOff>
    </xdr:from>
    <xdr:to>
      <xdr:col>6</xdr:col>
      <xdr:colOff>350184</xdr:colOff>
      <xdr:row>12</xdr:row>
      <xdr:rowOff>152400</xdr:rowOff>
    </xdr:to>
    <xdr:sp macro="" textlink="'Device model with highest users'!F50">
      <xdr:nvSpPr>
        <xdr:cNvPr id="23" name="Rectangle 22"/>
        <xdr:cNvSpPr/>
      </xdr:nvSpPr>
      <xdr:spPr>
        <a:xfrm>
          <a:off x="1948310" y="1022537"/>
          <a:ext cx="2099815" cy="1483098"/>
        </a:xfrm>
        <a:prstGeom prst="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AA26DE2A-9FD1-45A8-85CD-8AFD5AF64A55}" type="TxLink">
            <a:rPr lang="en-US" sz="4000" b="0" i="0" u="none" strike="noStrike">
              <a:solidFill>
                <a:srgbClr val="000000"/>
              </a:solidFill>
              <a:latin typeface="Bahnschrift SemiLight SemiConde" panose="020B0502040204020203" pitchFamily="34" charset="0"/>
              <a:ea typeface="Calibri"/>
              <a:cs typeface="Calibri"/>
            </a:rPr>
            <a:pPr algn="ctr"/>
            <a:t>700</a:t>
          </a:fld>
          <a:endParaRPr lang="en-US" sz="4000">
            <a:latin typeface="Bahnschrift SemiLight SemiConde" panose="020B0502040204020203" pitchFamily="34" charset="0"/>
          </a:endParaRPr>
        </a:p>
      </xdr:txBody>
    </xdr:sp>
    <xdr:clientData/>
  </xdr:twoCellAnchor>
  <xdr:twoCellAnchor>
    <xdr:from>
      <xdr:col>6</xdr:col>
      <xdr:colOff>420820</xdr:colOff>
      <xdr:row>5</xdr:row>
      <xdr:rowOff>38100</xdr:rowOff>
    </xdr:from>
    <xdr:to>
      <xdr:col>10</xdr:col>
      <xdr:colOff>441698</xdr:colOff>
      <xdr:row>12</xdr:row>
      <xdr:rowOff>165100</xdr:rowOff>
    </xdr:to>
    <xdr:sp macro="" textlink="'Device model with highest users'!I50:I51">
      <xdr:nvSpPr>
        <xdr:cNvPr id="24" name="Rectangle 23"/>
        <xdr:cNvSpPr/>
      </xdr:nvSpPr>
      <xdr:spPr>
        <a:xfrm>
          <a:off x="4118761" y="1018615"/>
          <a:ext cx="2486172" cy="1499720"/>
        </a:xfrm>
        <a:prstGeom prst="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F436BAB6-6F34-4DE1-8038-896978B4D3D5}" type="TxLink">
            <a:rPr lang="en-US" sz="2800" b="0" i="0" u="none" strike="noStrike">
              <a:solidFill>
                <a:srgbClr val="000000"/>
              </a:solidFill>
              <a:latin typeface="Bahnschrift SemiLight Condensed" panose="020B0502040204020203" pitchFamily="34" charset="0"/>
              <a:ea typeface="Calibri"/>
              <a:cs typeface="Calibri"/>
            </a:rPr>
            <a:pPr algn="ctr"/>
            <a:t>Xiaomi Mi 11</a:t>
          </a:fld>
          <a:endParaRPr lang="en-US" sz="2800" b="0">
            <a:latin typeface="Bahnschrift SemiLight Condensed" panose="020B0502040204020203" pitchFamily="34" charset="0"/>
          </a:endParaRPr>
        </a:p>
      </xdr:txBody>
    </xdr:sp>
    <xdr:clientData/>
  </xdr:twoCellAnchor>
  <xdr:twoCellAnchor>
    <xdr:from>
      <xdr:col>3</xdr:col>
      <xdr:colOff>92549</xdr:colOff>
      <xdr:row>13</xdr:row>
      <xdr:rowOff>49493</xdr:rowOff>
    </xdr:from>
    <xdr:to>
      <xdr:col>6</xdr:col>
      <xdr:colOff>591441</xdr:colOff>
      <xdr:row>21</xdr:row>
      <xdr:rowOff>151092</xdr:rowOff>
    </xdr:to>
    <xdr:sp macro="" textlink="'Device model with highest users'!K66">
      <xdr:nvSpPr>
        <xdr:cNvPr id="25" name="Rectangle 24"/>
        <xdr:cNvSpPr/>
      </xdr:nvSpPr>
      <xdr:spPr>
        <a:xfrm>
          <a:off x="1941520" y="2598831"/>
          <a:ext cx="2347862" cy="1670423"/>
        </a:xfrm>
        <a:prstGeom prst="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19622DD1-BB0A-4706-9C45-1DC918BBF80C}" type="TxLink">
            <a:rPr lang="en-US" sz="4000" b="0" i="0" u="none" strike="noStrike">
              <a:solidFill>
                <a:srgbClr val="000000"/>
              </a:solidFill>
              <a:latin typeface="Bahnschrift SemiLight Condensed" panose="020B0502040204020203" pitchFamily="34" charset="0"/>
              <a:ea typeface="Calibri"/>
              <a:cs typeface="Calibri"/>
            </a:rPr>
            <a:pPr algn="ctr"/>
            <a:t>271</a:t>
          </a:fld>
          <a:endParaRPr lang="en-US" sz="4000" b="0">
            <a:latin typeface="Bahnschrift SemiLight Condensed" panose="020B0502040204020203" pitchFamily="34" charset="0"/>
          </a:endParaRPr>
        </a:p>
      </xdr:txBody>
    </xdr:sp>
    <xdr:clientData/>
  </xdr:twoCellAnchor>
  <xdr:twoCellAnchor>
    <xdr:from>
      <xdr:col>7</xdr:col>
      <xdr:colOff>62888</xdr:colOff>
      <xdr:row>13</xdr:row>
      <xdr:rowOff>70037</xdr:rowOff>
    </xdr:from>
    <xdr:to>
      <xdr:col>10</xdr:col>
      <xdr:colOff>476252</xdr:colOff>
      <xdr:row>22</xdr:row>
      <xdr:rowOff>0</xdr:rowOff>
    </xdr:to>
    <xdr:sp macro="" textlink="'Device model with highest users'!E73">
      <xdr:nvSpPr>
        <xdr:cNvPr id="26" name="Rectangle 25"/>
        <xdr:cNvSpPr/>
      </xdr:nvSpPr>
      <xdr:spPr>
        <a:xfrm>
          <a:off x="4377153" y="2619375"/>
          <a:ext cx="2262334" cy="1694890"/>
        </a:xfrm>
        <a:prstGeom prst="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2EA9DFBE-788A-460A-9BFD-B7A7612A6E2E}" type="TxLink">
            <a:rPr lang="en-US" sz="4000" b="0" i="0" u="none" strike="noStrike">
              <a:solidFill>
                <a:srgbClr val="000000"/>
              </a:solidFill>
              <a:latin typeface="Bahnschrift SemiLight Condensed" panose="020B0502040204020203" pitchFamily="34" charset="0"/>
              <a:ea typeface="Calibri"/>
              <a:cs typeface="Calibri"/>
            </a:rPr>
            <a:pPr algn="ctr"/>
            <a:t>5</a:t>
          </a:fld>
          <a:endParaRPr lang="en-US" sz="4000" b="0">
            <a:latin typeface="Bahnschrift SemiLight Condensed" panose="020B0502040204020203" pitchFamily="34" charset="0"/>
          </a:endParaRPr>
        </a:p>
      </xdr:txBody>
    </xdr:sp>
    <xdr:clientData/>
  </xdr:twoCellAnchor>
  <xdr:twoCellAnchor editAs="oneCell">
    <xdr:from>
      <xdr:col>11</xdr:col>
      <xdr:colOff>13049</xdr:colOff>
      <xdr:row>0</xdr:row>
      <xdr:rowOff>0</xdr:rowOff>
    </xdr:from>
    <xdr:to>
      <xdr:col>12</xdr:col>
      <xdr:colOff>107404</xdr:colOff>
      <xdr:row>4</xdr:row>
      <xdr:rowOff>144956</xdr:rowOff>
    </xdr:to>
    <xdr:pic>
      <xdr:nvPicPr>
        <xdr:cNvPr id="4" name="Picture 3"/>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758837" y="0"/>
          <a:ext cx="707608" cy="927833"/>
        </a:xfrm>
        <a:prstGeom prst="rect">
          <a:avLst/>
        </a:prstGeom>
      </xdr:spPr>
    </xdr:pic>
    <xdr:clientData/>
  </xdr:twoCellAnchor>
  <xdr:twoCellAnchor editAs="oneCell">
    <xdr:from>
      <xdr:col>11</xdr:col>
      <xdr:colOff>113257</xdr:colOff>
      <xdr:row>0</xdr:row>
      <xdr:rowOff>8873</xdr:rowOff>
    </xdr:from>
    <xdr:to>
      <xdr:col>12</xdr:col>
      <xdr:colOff>207612</xdr:colOff>
      <xdr:row>4</xdr:row>
      <xdr:rowOff>153829</xdr:rowOff>
    </xdr:to>
    <xdr:pic>
      <xdr:nvPicPr>
        <xdr:cNvPr id="27" name="Picture 26"/>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859045" y="8873"/>
          <a:ext cx="707608" cy="927833"/>
        </a:xfrm>
        <a:prstGeom prst="rect">
          <a:avLst/>
        </a:prstGeom>
      </xdr:spPr>
    </xdr:pic>
    <xdr:clientData/>
  </xdr:twoCellAnchor>
  <xdr:twoCellAnchor editAs="oneCell">
    <xdr:from>
      <xdr:col>11</xdr:col>
      <xdr:colOff>239561</xdr:colOff>
      <xdr:row>0</xdr:row>
      <xdr:rowOff>0</xdr:rowOff>
    </xdr:from>
    <xdr:to>
      <xdr:col>12</xdr:col>
      <xdr:colOff>333916</xdr:colOff>
      <xdr:row>4</xdr:row>
      <xdr:rowOff>144956</xdr:rowOff>
    </xdr:to>
    <xdr:pic>
      <xdr:nvPicPr>
        <xdr:cNvPr id="28" name="Picture 27"/>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6985349" y="0"/>
          <a:ext cx="707608" cy="927833"/>
        </a:xfrm>
        <a:prstGeom prst="rect">
          <a:avLst/>
        </a:prstGeom>
      </xdr:spPr>
    </xdr:pic>
    <xdr:clientData/>
  </xdr:twoCellAnchor>
  <xdr:twoCellAnchor>
    <xdr:from>
      <xdr:col>3</xdr:col>
      <xdr:colOff>360334</xdr:colOff>
      <xdr:row>10</xdr:row>
      <xdr:rowOff>164335</xdr:rowOff>
    </xdr:from>
    <xdr:to>
      <xdr:col>6</xdr:col>
      <xdr:colOff>163981</xdr:colOff>
      <xdr:row>12</xdr:row>
      <xdr:rowOff>99096</xdr:rowOff>
    </xdr:to>
    <xdr:sp macro="" textlink="">
      <xdr:nvSpPr>
        <xdr:cNvPr id="22" name="TextBox 21"/>
        <xdr:cNvSpPr txBox="1"/>
      </xdr:nvSpPr>
      <xdr:spPr>
        <a:xfrm>
          <a:off x="2209305" y="2125364"/>
          <a:ext cx="1652617" cy="326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Total Active Users</a:t>
          </a:r>
        </a:p>
      </xdr:txBody>
    </xdr:sp>
    <xdr:clientData/>
  </xdr:twoCellAnchor>
  <xdr:twoCellAnchor>
    <xdr:from>
      <xdr:col>3</xdr:col>
      <xdr:colOff>189630</xdr:colOff>
      <xdr:row>19</xdr:row>
      <xdr:rowOff>165448</xdr:rowOff>
    </xdr:from>
    <xdr:to>
      <xdr:col>6</xdr:col>
      <xdr:colOff>577415</xdr:colOff>
      <xdr:row>21</xdr:row>
      <xdr:rowOff>76200</xdr:rowOff>
    </xdr:to>
    <xdr:sp macro="" textlink="">
      <xdr:nvSpPr>
        <xdr:cNvPr id="29" name="TextBox 28"/>
        <xdr:cNvSpPr txBox="1"/>
      </xdr:nvSpPr>
      <xdr:spPr>
        <a:xfrm>
          <a:off x="2018430" y="3784948"/>
          <a:ext cx="2216585" cy="29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Overall Average App Usage Time</a:t>
          </a:r>
        </a:p>
      </xdr:txBody>
    </xdr:sp>
    <xdr:clientData/>
  </xdr:twoCellAnchor>
  <xdr:twoCellAnchor>
    <xdr:from>
      <xdr:col>7</xdr:col>
      <xdr:colOff>259693</xdr:colOff>
      <xdr:row>10</xdr:row>
      <xdr:rowOff>114300</xdr:rowOff>
    </xdr:from>
    <xdr:to>
      <xdr:col>10</xdr:col>
      <xdr:colOff>139887</xdr:colOff>
      <xdr:row>12</xdr:row>
      <xdr:rowOff>38099</xdr:rowOff>
    </xdr:to>
    <xdr:sp macro="" textlink="">
      <xdr:nvSpPr>
        <xdr:cNvPr id="30" name="TextBox 29"/>
        <xdr:cNvSpPr txBox="1"/>
      </xdr:nvSpPr>
      <xdr:spPr>
        <a:xfrm>
          <a:off x="4573958" y="2075329"/>
          <a:ext cx="1729164" cy="31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Top Device Model</a:t>
          </a:r>
        </a:p>
      </xdr:txBody>
    </xdr:sp>
    <xdr:clientData/>
  </xdr:twoCellAnchor>
  <xdr:twoCellAnchor>
    <xdr:from>
      <xdr:col>7</xdr:col>
      <xdr:colOff>199548</xdr:colOff>
      <xdr:row>19</xdr:row>
      <xdr:rowOff>153096</xdr:rowOff>
    </xdr:from>
    <xdr:to>
      <xdr:col>10</xdr:col>
      <xdr:colOff>600380</xdr:colOff>
      <xdr:row>21</xdr:row>
      <xdr:rowOff>40884</xdr:rowOff>
    </xdr:to>
    <xdr:sp macro="" textlink="">
      <xdr:nvSpPr>
        <xdr:cNvPr id="31" name="TextBox 30"/>
        <xdr:cNvSpPr txBox="1"/>
      </xdr:nvSpPr>
      <xdr:spPr>
        <a:xfrm>
          <a:off x="4466748" y="3772596"/>
          <a:ext cx="2229632" cy="268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Overall Average screen on-time</a:t>
          </a:r>
        </a:p>
      </xdr:txBody>
    </xdr:sp>
    <xdr:clientData/>
  </xdr:twoCellAnchor>
  <xdr:twoCellAnchor>
    <xdr:from>
      <xdr:col>0</xdr:col>
      <xdr:colOff>274007</xdr:colOff>
      <xdr:row>1</xdr:row>
      <xdr:rowOff>13048</xdr:rowOff>
    </xdr:from>
    <xdr:to>
      <xdr:col>5</xdr:col>
      <xdr:colOff>234863</xdr:colOff>
      <xdr:row>3</xdr:row>
      <xdr:rowOff>182671</xdr:rowOff>
    </xdr:to>
    <xdr:sp macro="" textlink="">
      <xdr:nvSpPr>
        <xdr:cNvPr id="33" name="TextBox 32"/>
        <xdr:cNvSpPr txBox="1"/>
      </xdr:nvSpPr>
      <xdr:spPr>
        <a:xfrm>
          <a:off x="274007" y="208767"/>
          <a:ext cx="3027123" cy="5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Bahnschrift Condensed" panose="020B0502040204020203" pitchFamily="34" charset="0"/>
            </a:rPr>
            <a:t>IOS/ANDROID</a:t>
          </a:r>
        </a:p>
      </xdr:txBody>
    </xdr:sp>
    <xdr:clientData/>
  </xdr:twoCellAnchor>
  <xdr:twoCellAnchor editAs="oneCell">
    <xdr:from>
      <xdr:col>3</xdr:col>
      <xdr:colOff>21399</xdr:colOff>
      <xdr:row>0</xdr:row>
      <xdr:rowOff>63500</xdr:rowOff>
    </xdr:from>
    <xdr:to>
      <xdr:col>5</xdr:col>
      <xdr:colOff>435545</xdr:colOff>
      <xdr:row>4</xdr:row>
      <xdr:rowOff>117779</xdr:rowOff>
    </xdr:to>
    <xdr:pic>
      <xdr:nvPicPr>
        <xdr:cNvPr id="36" name="Picture 35"/>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0" r="100000"/>
                  </a14:imgEffect>
                </a14:imgLayer>
              </a14:imgProps>
            </a:ext>
            <a:ext uri="{28A0092B-C50C-407E-A947-70E740481C1C}">
              <a14:useLocalDpi xmlns:a14="http://schemas.microsoft.com/office/drawing/2010/main" val="0"/>
            </a:ext>
          </a:extLst>
        </a:blip>
        <a:stretch>
          <a:fillRect/>
        </a:stretch>
      </xdr:blipFill>
      <xdr:spPr>
        <a:xfrm>
          <a:off x="1850199" y="63500"/>
          <a:ext cx="1633346" cy="816279"/>
        </a:xfrm>
        <a:prstGeom prst="rect">
          <a:avLst/>
        </a:prstGeom>
      </xdr:spPr>
    </xdr:pic>
    <xdr:clientData/>
  </xdr:twoCellAnchor>
  <xdr:twoCellAnchor>
    <xdr:from>
      <xdr:col>4</xdr:col>
      <xdr:colOff>27835</xdr:colOff>
      <xdr:row>1</xdr:row>
      <xdr:rowOff>12700</xdr:rowOff>
    </xdr:from>
    <xdr:to>
      <xdr:col>4</xdr:col>
      <xdr:colOff>210507</xdr:colOff>
      <xdr:row>4</xdr:row>
      <xdr:rowOff>25748</xdr:rowOff>
    </xdr:to>
    <xdr:cxnSp macro="">
      <xdr:nvCxnSpPr>
        <xdr:cNvPr id="39" name="Straight Connector 38"/>
        <xdr:cNvCxnSpPr/>
      </xdr:nvCxnSpPr>
      <xdr:spPr>
        <a:xfrm flipH="1">
          <a:off x="2466235" y="203200"/>
          <a:ext cx="182672" cy="584548"/>
        </a:xfrm>
        <a:prstGeom prst="line">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520515</xdr:colOff>
      <xdr:row>5</xdr:row>
      <xdr:rowOff>24093</xdr:rowOff>
    </xdr:from>
    <xdr:to>
      <xdr:col>15</xdr:col>
      <xdr:colOff>560295</xdr:colOff>
      <xdr:row>12</xdr:row>
      <xdr:rowOff>151093</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279400</xdr:colOff>
      <xdr:row>0</xdr:row>
      <xdr:rowOff>84602</xdr:rowOff>
    </xdr:from>
    <xdr:to>
      <xdr:col>5</xdr:col>
      <xdr:colOff>584200</xdr:colOff>
      <xdr:row>5</xdr:row>
      <xdr:rowOff>143217</xdr:rowOff>
    </xdr:to>
    <xdr:pic>
      <xdr:nvPicPr>
        <xdr:cNvPr id="14" name="Picture 13"/>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9938" b="89441" l="50000" r="89809"/>
                  </a14:imgEffect>
                </a14:imgLayer>
              </a14:imgProps>
            </a:ext>
            <a:ext uri="{28A0092B-C50C-407E-A947-70E740481C1C}">
              <a14:useLocalDpi xmlns:a14="http://schemas.microsoft.com/office/drawing/2010/main" val="0"/>
            </a:ext>
          </a:extLst>
        </a:blip>
        <a:stretch>
          <a:fillRect/>
        </a:stretch>
      </xdr:blipFill>
      <xdr:spPr>
        <a:xfrm>
          <a:off x="1498600" y="84602"/>
          <a:ext cx="2133600" cy="1011115"/>
        </a:xfrm>
        <a:prstGeom prst="rect">
          <a:avLst/>
        </a:prstGeom>
      </xdr:spPr>
    </xdr:pic>
    <xdr:clientData/>
  </xdr:twoCellAnchor>
  <xdr:twoCellAnchor>
    <xdr:from>
      <xdr:col>9</xdr:col>
      <xdr:colOff>14942</xdr:colOff>
      <xdr:row>17</xdr:row>
      <xdr:rowOff>94130</xdr:rowOff>
    </xdr:from>
    <xdr:to>
      <xdr:col>10</xdr:col>
      <xdr:colOff>319742</xdr:colOff>
      <xdr:row>19</xdr:row>
      <xdr:rowOff>94130</xdr:rowOff>
    </xdr:to>
    <xdr:sp macro="" textlink="">
      <xdr:nvSpPr>
        <xdr:cNvPr id="3" name="TextBox 2"/>
        <xdr:cNvSpPr txBox="1"/>
      </xdr:nvSpPr>
      <xdr:spPr>
        <a:xfrm>
          <a:off x="5561854" y="3427880"/>
          <a:ext cx="921123"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(Hours/day</a:t>
          </a:r>
          <a:r>
            <a:rPr lang="en-US" sz="1100"/>
            <a:t>)</a:t>
          </a:r>
        </a:p>
      </xdr:txBody>
    </xdr:sp>
    <xdr:clientData/>
  </xdr:twoCellAnchor>
  <xdr:twoCellAnchor>
    <xdr:from>
      <xdr:col>5</xdr:col>
      <xdr:colOff>279400</xdr:colOff>
      <xdr:row>17</xdr:row>
      <xdr:rowOff>88900</xdr:rowOff>
    </xdr:from>
    <xdr:to>
      <xdr:col>6</xdr:col>
      <xdr:colOff>584200</xdr:colOff>
      <xdr:row>19</xdr:row>
      <xdr:rowOff>88900</xdr:rowOff>
    </xdr:to>
    <xdr:sp macro="" textlink="">
      <xdr:nvSpPr>
        <xdr:cNvPr id="41" name="TextBox 40"/>
        <xdr:cNvSpPr txBox="1"/>
      </xdr:nvSpPr>
      <xdr:spPr>
        <a:xfrm>
          <a:off x="3327400" y="3327400"/>
          <a:ext cx="914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(Min/day</a:t>
          </a:r>
          <a:r>
            <a:rPr lang="en-US" sz="1100"/>
            <a:t>)</a:t>
          </a:r>
        </a:p>
      </xdr:txBody>
    </xdr:sp>
    <xdr:clientData/>
  </xdr:twoCellAnchor>
  <xdr:twoCellAnchor>
    <xdr:from>
      <xdr:col>3</xdr:col>
      <xdr:colOff>93330</xdr:colOff>
      <xdr:row>22</xdr:row>
      <xdr:rowOff>53227</xdr:rowOff>
    </xdr:from>
    <xdr:to>
      <xdr:col>6</xdr:col>
      <xdr:colOff>588310</xdr:colOff>
      <xdr:row>30</xdr:row>
      <xdr:rowOff>169955</xdr:rowOff>
    </xdr:to>
    <xdr:sp macro="" textlink="'Device model with highest users'!P68">
      <xdr:nvSpPr>
        <xdr:cNvPr id="47" name="Rectangle 46"/>
        <xdr:cNvSpPr/>
      </xdr:nvSpPr>
      <xdr:spPr>
        <a:xfrm>
          <a:off x="1942301" y="4367492"/>
          <a:ext cx="2343950" cy="1685551"/>
        </a:xfrm>
        <a:prstGeom prst="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F204140B-462B-4587-AA15-24B140E47A9B}" type="TxLink">
            <a:rPr lang="en-US" sz="4000" b="0" i="0" u="none" strike="noStrike">
              <a:solidFill>
                <a:srgbClr val="000000"/>
              </a:solidFill>
              <a:latin typeface="Bahnschrift SemiLight Condensed" panose="020B0502040204020203" pitchFamily="34" charset="0"/>
              <a:ea typeface="Calibri"/>
              <a:cs typeface="Calibri"/>
            </a:rPr>
            <a:t>51</a:t>
          </a:fld>
          <a:endParaRPr lang="en-US" sz="4000" b="0">
            <a:latin typeface="Bahnschrift SemiLight Condensed" panose="020B0502040204020203" pitchFamily="34" charset="0"/>
          </a:endParaRPr>
        </a:p>
      </xdr:txBody>
    </xdr:sp>
    <xdr:clientData/>
  </xdr:twoCellAnchor>
  <xdr:twoCellAnchor>
    <xdr:from>
      <xdr:col>3</xdr:col>
      <xdr:colOff>212248</xdr:colOff>
      <xdr:row>28</xdr:row>
      <xdr:rowOff>137220</xdr:rowOff>
    </xdr:from>
    <xdr:to>
      <xdr:col>7</xdr:col>
      <xdr:colOff>63500</xdr:colOff>
      <xdr:row>30</xdr:row>
      <xdr:rowOff>31749</xdr:rowOff>
    </xdr:to>
    <xdr:sp macro="" textlink="">
      <xdr:nvSpPr>
        <xdr:cNvPr id="48" name="TextBox 47"/>
        <xdr:cNvSpPr txBox="1"/>
      </xdr:nvSpPr>
      <xdr:spPr>
        <a:xfrm>
          <a:off x="2021998" y="5471220"/>
          <a:ext cx="2264252" cy="275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Average Number of Installed App</a:t>
          </a:r>
        </a:p>
      </xdr:txBody>
    </xdr:sp>
    <xdr:clientData/>
  </xdr:twoCellAnchor>
  <xdr:twoCellAnchor>
    <xdr:from>
      <xdr:col>26</xdr:col>
      <xdr:colOff>378198</xdr:colOff>
      <xdr:row>13</xdr:row>
      <xdr:rowOff>28015</xdr:rowOff>
    </xdr:from>
    <xdr:to>
      <xdr:col>31</xdr:col>
      <xdr:colOff>476250</xdr:colOff>
      <xdr:row>21</xdr:row>
      <xdr:rowOff>168088</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49627</xdr:colOff>
      <xdr:row>22</xdr:row>
      <xdr:rowOff>84044</xdr:rowOff>
    </xdr:from>
    <xdr:to>
      <xdr:col>10</xdr:col>
      <xdr:colOff>504265</xdr:colOff>
      <xdr:row>30</xdr:row>
      <xdr:rowOff>182281</xdr:rowOff>
    </xdr:to>
    <xdr:sp macro="" textlink="'Device model with highest users'!E63">
      <xdr:nvSpPr>
        <xdr:cNvPr id="50" name="Rectangle 49"/>
        <xdr:cNvSpPr/>
      </xdr:nvSpPr>
      <xdr:spPr>
        <a:xfrm>
          <a:off x="4363892" y="4398309"/>
          <a:ext cx="2303608" cy="1667060"/>
        </a:xfrm>
        <a:prstGeom prst="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0F987A9D-C071-487C-BF39-E1F5CE9828B7}" type="TxLink">
            <a:rPr lang="en-US" sz="4000" b="0" i="0" u="none" strike="noStrike">
              <a:solidFill>
                <a:srgbClr val="000000"/>
              </a:solidFill>
              <a:latin typeface="Bahnschrift SemiLight Condensed" panose="020B0502040204020203" pitchFamily="34" charset="0"/>
              <a:ea typeface="Calibri"/>
              <a:cs typeface="Calibri"/>
            </a:rPr>
            <a:t>1525</a:t>
          </a:fld>
          <a:endParaRPr lang="en-US" sz="4000" b="0">
            <a:latin typeface="Bahnschrift SemiLight Condensed" panose="020B0502040204020203" pitchFamily="34" charset="0"/>
          </a:endParaRPr>
        </a:p>
      </xdr:txBody>
    </xdr:sp>
    <xdr:clientData/>
  </xdr:twoCellAnchor>
  <xdr:twoCellAnchor>
    <xdr:from>
      <xdr:col>7</xdr:col>
      <xdr:colOff>294137</xdr:colOff>
      <xdr:row>28</xdr:row>
      <xdr:rowOff>119119</xdr:rowOff>
    </xdr:from>
    <xdr:to>
      <xdr:col>11</xdr:col>
      <xdr:colOff>146251</xdr:colOff>
      <xdr:row>30</xdr:row>
      <xdr:rowOff>13648</xdr:rowOff>
    </xdr:to>
    <xdr:sp macro="" textlink="">
      <xdr:nvSpPr>
        <xdr:cNvPr id="51" name="TextBox 50"/>
        <xdr:cNvSpPr txBox="1"/>
      </xdr:nvSpPr>
      <xdr:spPr>
        <a:xfrm>
          <a:off x="4602368" y="5453119"/>
          <a:ext cx="2313960" cy="275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Average battery drain</a:t>
          </a:r>
        </a:p>
      </xdr:txBody>
    </xdr:sp>
    <xdr:clientData/>
  </xdr:twoCellAnchor>
  <xdr:twoCellAnchor>
    <xdr:from>
      <xdr:col>9</xdr:col>
      <xdr:colOff>286470</xdr:colOff>
      <xdr:row>26</xdr:row>
      <xdr:rowOff>101457</xdr:rowOff>
    </xdr:from>
    <xdr:to>
      <xdr:col>10</xdr:col>
      <xdr:colOff>591270</xdr:colOff>
      <xdr:row>28</xdr:row>
      <xdr:rowOff>101457</xdr:rowOff>
    </xdr:to>
    <xdr:sp macro="" textlink="">
      <xdr:nvSpPr>
        <xdr:cNvPr id="52" name="TextBox 51"/>
        <xdr:cNvSpPr txBox="1"/>
      </xdr:nvSpPr>
      <xdr:spPr>
        <a:xfrm>
          <a:off x="5825624" y="5054457"/>
          <a:ext cx="92026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(mAh/day</a:t>
          </a:r>
          <a:r>
            <a:rPr lang="en-US" sz="11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51.76386875" createdVersion="6" refreshedVersion="6" minRefreshableVersion="3" recordCount="700">
  <cacheSource type="worksheet">
    <worksheetSource name="Table2"/>
  </cacheSource>
  <cacheFields count="14">
    <cacheField name="User ID" numFmtId="0">
      <sharedItems containsSemiMixedTypes="0" containsString="0" containsNumber="1" containsInteger="1" minValue="1" maxValue="700"/>
    </cacheField>
    <cacheField name="Device Model" numFmtId="0">
      <sharedItems count="5">
        <s v="Google Pixel 5"/>
        <s v="OnePlus 9"/>
        <s v="Xiaomi Mi 11"/>
        <s v="iPhone 12"/>
        <s v="Samsung Galaxy S21"/>
      </sharedItems>
    </cacheField>
    <cacheField name="Operating System" numFmtId="0">
      <sharedItems/>
    </cacheField>
    <cacheField name="App Usage Time (min/day)" numFmtId="0">
      <sharedItems containsSemiMixedTypes="0" containsString="0" containsNumber="1" containsInteger="1" minValue="30" maxValue="598"/>
    </cacheField>
    <cacheField name="Screen On Time (hours/day)" numFmtId="0">
      <sharedItems containsSemiMixedTypes="0" containsString="0" containsNumber="1" minValue="1" maxValue="12"/>
    </cacheField>
    <cacheField name="Battery Drain (mAh/day)" numFmtId="0">
      <sharedItems containsSemiMixedTypes="0" containsString="0" containsNumber="1" containsInteger="1" minValue="302" maxValue="2993"/>
    </cacheField>
    <cacheField name="Number of Apps Installed" numFmtId="0">
      <sharedItems containsSemiMixedTypes="0" containsString="0" containsNumber="1" containsInteger="1" minValue="10" maxValue="99"/>
    </cacheField>
    <cacheField name="Data Usage (MB/day)" numFmtId="0">
      <sharedItems containsSemiMixedTypes="0" containsString="0" containsNumber="1" containsInteger="1" minValue="102" maxValue="2497"/>
    </cacheField>
    <cacheField name="Age" numFmtId="0">
      <sharedItems containsSemiMixedTypes="0" containsString="0" containsNumber="1" containsInteger="1" minValue="18" maxValue="59"/>
    </cacheField>
    <cacheField name="Age-Range" numFmtId="0">
      <sharedItems count="5">
        <s v="35 - 44"/>
        <s v="45 - 54"/>
        <s v="18 - 24"/>
        <s v="25 - 34"/>
        <s v="55 - 59"/>
      </sharedItems>
    </cacheField>
    <cacheField name="Group-Label" numFmtId="0">
      <sharedItems/>
    </cacheField>
    <cacheField name="Gender" numFmtId="0">
      <sharedItems/>
    </cacheField>
    <cacheField name="User Behavior Class" numFmtId="0">
      <sharedItems containsSemiMixedTypes="0" containsString="0" containsNumber="1" containsInteger="1" minValue="1" maxValue="5"/>
    </cacheField>
    <cacheField name="User Behaviour Classification" numFmtId="0">
      <sharedItems count="3">
        <s v="Heavy User"/>
        <s v="Moderate User"/>
        <s v="Light Us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LENOVO" refreshedDate="45956.749248726854" backgroundQuery="1" createdVersion="6" refreshedVersion="6" minRefreshableVersion="3" recordCount="0" supportSubquery="1" supportAdvancedDrill="1">
  <cacheSource type="external" connectionId="1"/>
  <cacheFields count="3">
    <cacheField name="[Table2].[Operating System].[Operating System]" caption="Operating System" numFmtId="0" hierarchy="16" level="1">
      <sharedItems count="2">
        <s v="Android"/>
        <s v="iOS"/>
      </sharedItems>
    </cacheField>
    <cacheField name="[Measures].[Average of Data Usage (MB/day)]" caption="Average of Data Usage (MB/day)" numFmtId="0" hierarchy="41"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fieldsUsage count="2">
        <fieldUsage x="-1"/>
        <fieldUsage x="0"/>
      </fieldsUsage>
    </cacheHierarchy>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LENOVO" refreshedDate="45956.749249305554" backgroundQuery="1" createdVersion="6" refreshedVersion="6" minRefreshableVersion="3" recordCount="0" supportSubquery="1" supportAdvancedDrill="1">
  <cacheSource type="external" connectionId="1"/>
  <cacheFields count="3">
    <cacheField name="[Table2].[User Behaviour Classification].[User Behaviour Classification]" caption="User Behaviour Classification" numFmtId="0" hierarchy="27" level="1">
      <sharedItems count="3">
        <s v="Heavy User"/>
        <s v="Light User"/>
        <s v="Moderate User"/>
      </sharedItems>
    </cacheField>
    <cacheField name="[Measures].[Average of Number of Apps Installed]" caption="Average of Number of Apps Installed" numFmtId="0" hierarchy="43"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LENOVO" refreshedDate="45956.749250000001" backgroundQuery="1" createdVersion="6" refreshedVersion="6" minRefreshableVersion="3" recordCount="0" supportSubquery="1" supportAdvancedDrill="1">
  <cacheSource type="external" connectionId="1"/>
  <cacheFields count="4">
    <cacheField name="[Table2].[Gender].[Gender]" caption="Gender" numFmtId="0" hierarchy="25" level="1">
      <sharedItems count="2">
        <s v="Female"/>
        <s v="Male"/>
      </sharedItems>
    </cacheField>
    <cacheField name="[Measures].[Average of Screen On Time (hours/day)]" caption="Average of Screen On Time (hours/day)" numFmtId="0" hierarchy="45" level="32767"/>
    <cacheField name="[Measures].[Average of App Usage Time (min/day)]" caption="Average of App Usage Time (min/day)" numFmtId="0" hierarchy="35"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3"/>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LENOVO" refreshedDate="45956.749250578701" backgroundQuery="1" createdVersion="6" refreshedVersion="6" minRefreshableVersion="3" recordCount="0" supportSubquery="1" supportAdvancedDrill="1">
  <cacheSource type="external" connectionId="1"/>
  <cacheFields count="3">
    <cacheField name="[Table2].[Device Model].[Device Model]" caption="Device Model" numFmtId="0" hierarchy="15" level="1">
      <sharedItems count="5">
        <s v="Google Pixel 5"/>
        <s v="iPhone 12"/>
        <s v="OnePlus 9"/>
        <s v="Samsung Galaxy S21"/>
        <s v="Xiaomi Mi 11"/>
      </sharedItems>
    </cacheField>
    <cacheField name="[Measures].[Distinct Count of Number of Apps Installed]" caption="Distinct Count of Number of Apps Installed" numFmtId="0" hierarchy="32"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0"/>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LENOVO" refreshedDate="45956.749251273148" backgroundQuery="1" createdVersion="6" refreshedVersion="6" minRefreshableVersion="3" recordCount="0" supportSubquery="1" supportAdvancedDrill="1">
  <cacheSource type="external" connectionId="1"/>
  <cacheFields count="4">
    <cacheField name="[Table2].[Gender].[Gender]" caption="Gender" numFmtId="0" hierarchy="25" level="1">
      <sharedItems count="2">
        <s v="Female"/>
        <s v="Male"/>
      </sharedItems>
    </cacheField>
    <cacheField name="[Table2].[Operating System].[Operating System]" caption="Operating System" numFmtId="0" hierarchy="16" level="1">
      <sharedItems count="2">
        <s v="Android"/>
        <s v="iOS"/>
      </sharedItems>
    </cacheField>
    <cacheField name="[Measures].[Count of Gender]" caption="Count of Gender" numFmtId="0" hierarchy="33"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fieldsUsage count="2">
        <fieldUsage x="-1"/>
        <fieldUsage x="1"/>
      </fieldsUsage>
    </cacheHierarchy>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3"/>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LENOVO" refreshedDate="45956.749251851848" backgroundQuery="1" createdVersion="6" refreshedVersion="6" minRefreshableVersion="3" recordCount="0" supportSubquery="1" supportAdvancedDrill="1">
  <cacheSource type="external" connectionId="1"/>
  <cacheFields count="3">
    <cacheField name="[Table2].[Device Model].[Device Model]" caption="Device Model" numFmtId="0" hierarchy="15" level="1">
      <sharedItems count="5">
        <s v="Google Pixel 5"/>
        <s v="iPhone 12"/>
        <s v="OnePlus 9"/>
        <s v="Samsung Galaxy S21"/>
        <s v="Xiaomi Mi 11"/>
      </sharedItems>
    </cacheField>
    <cacheField name="[Measures].[Average of App Usage Time (min/day)]" caption="Average of App Usage Time (min/day)" numFmtId="0" hierarchy="35"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0"/>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LENOVO" refreshedDate="45956.749252777779" backgroundQuery="1" createdVersion="6" refreshedVersion="6" minRefreshableVersion="3" recordCount="0" supportSubquery="1" supportAdvancedDrill="1">
  <cacheSource type="external" connectionId="1"/>
  <cacheFields count="3">
    <cacheField name="[Table2].[User Behaviour Classification].[User Behaviour Classification]" caption="User Behaviour Classification" numFmtId="0" hierarchy="27" level="1">
      <sharedItems count="3">
        <s v="Heavy User"/>
        <s v="Light User"/>
        <s v="Moderate User"/>
      </sharedItems>
    </cacheField>
    <cacheField name="[Measures].[Count of User ID]" caption="Count of User ID" numFmtId="0" hierarchy="38"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LENOVO" refreshedDate="45956.749253240741" backgroundQuery="1" createdVersion="6" refreshedVersion="6" minRefreshableVersion="3" recordCount="0" supportSubquery="1" supportAdvancedDrill="1">
  <cacheSource type="external" connectionId="1"/>
  <cacheFields count="3">
    <cacheField name="[Table2].[User Behaviour Classification].[User Behaviour Classification]" caption="User Behaviour Classification" numFmtId="0" hierarchy="27" level="1">
      <sharedItems count="3">
        <s v="Heavy User"/>
        <s v="Light User"/>
        <s v="Moderate User"/>
      </sharedItems>
    </cacheField>
    <cacheField name="[Measures].[Count of Age-Range]" caption="Count of Age-Range" numFmtId="0" hierarchy="39" level="32767"/>
    <cacheField name="[Table2].[Age-Range].[Age-Range]" caption="Age-Range" numFmtId="0" hierarchy="23" level="1">
      <sharedItems count="5">
        <s v="18 - 24"/>
        <s v="25 - 34"/>
        <s v="35 - 44"/>
        <s v="45 - 54"/>
        <s v="55 - 59"/>
      </sharedItems>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LENOVO" refreshedDate="45956.749254050927" backgroundQuery="1" createdVersion="6" refreshedVersion="6" minRefreshableVersion="3" recordCount="0" supportSubquery="1" supportAdvancedDrill="1">
  <cacheSource type="external" connectionId="1"/>
  <cacheFields count="3">
    <cacheField name="[Table2].[Operating System].[Operating System]" caption="Operating System" numFmtId="0" hierarchy="16" level="1">
      <sharedItems count="2">
        <s v="Android"/>
        <s v="iOS"/>
      </sharedItems>
    </cacheField>
    <cacheField name="[Measures].[Count of User ID]" caption="Count of User ID" numFmtId="0" hierarchy="38"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fieldsUsage count="2">
        <fieldUsage x="-1"/>
        <fieldUsage x="0"/>
      </fieldsUsage>
    </cacheHierarchy>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LENOVO" refreshedDate="45956.749254629627" backgroundQuery="1" createdVersion="6" refreshedVersion="6" minRefreshableVersion="3" recordCount="0" supportSubquery="1" supportAdvancedDrill="1">
  <cacheSource type="external" connectionId="1"/>
  <cacheFields count="3">
    <cacheField name="[Table_ExternalData_1].[Table2[Device Model]]].[Table2[Device Model]]]" caption="Table2[Device Model]" numFmtId="0" hierarchy="1" level="1">
      <sharedItems count="5">
        <s v="Google Pixel 5"/>
        <s v="iPhone 12"/>
        <s v="OnePlus 9"/>
        <s v="Samsung Galaxy S21"/>
        <s v="Xiaomi Mi 11"/>
      </sharedItems>
    </cacheField>
    <cacheField name="[Measures].[Count of Table2[Device Model]]]" caption="Count of Table2[Device Model]" numFmtId="0" hierarchy="50"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2" memberValueDatatype="130" unbalanced="0">
      <fieldsUsage count="2">
        <fieldUsage x="-1"/>
        <fieldUsage x="0"/>
      </fieldsUsage>
    </cacheHierarchy>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LENOVO" refreshedDate="45956.749255092589" backgroundQuery="1" createdVersion="6" refreshedVersion="6" minRefreshableVersion="3" recordCount="0" supportSubquery="1" supportAdvancedDrill="1">
  <cacheSource type="external" connectionId="1"/>
  <cacheFields count="3">
    <cacheField name="[Table_ExternalData_1].[Table2[Device Model]]].[Table2[Device Model]]]" caption="Table2[Device Model]" numFmtId="0" hierarchy="1" level="1">
      <sharedItems count="5">
        <s v="Google Pixel 5"/>
        <s v="iPhone 12"/>
        <s v="OnePlus 9"/>
        <s v="Samsung Galaxy S21"/>
        <s v="Xiaomi Mi 11"/>
      </sharedItems>
    </cacheField>
    <cacheField name="[Measures].[Distinct Count of Table2[User ID]]]" caption="Distinct Count of Table2[User ID]" numFmtId="0" hierarchy="48"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2" memberValueDatatype="130" unbalanced="0">
      <fieldsUsage count="2">
        <fieldUsage x="-1"/>
        <fieldUsage x="0"/>
      </fieldsUsage>
    </cacheHierarchy>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oneField="1" hidden="1">
      <fieldsUsage count="1">
        <fieldUsage x="1"/>
      </fieldsUsage>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LENOVO" refreshedDate="45956.749255439812" backgroundQuery="1" createdVersion="6" refreshedVersion="6" minRefreshableVersion="3" recordCount="0" supportSubquery="1" supportAdvancedDrill="1">
  <cacheSource type="external" connectionId="1"/>
  <cacheFields count="2">
    <cacheField name="[Measures].[Distinct Count of User ID]" caption="Distinct Count of User ID" numFmtId="0" hierarchy="37"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1"/>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LENOVO" refreshedDate="45956.749255439812" backgroundQuery="1" createdVersion="6" refreshedVersion="6" minRefreshableVersion="3" recordCount="0" supportSubquery="1" supportAdvancedDrill="1">
  <cacheSource type="external" connectionId="1"/>
  <cacheFields count="1">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0"/>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LENOVO" refreshedDate="45956.749256365743" backgroundQuery="1" createdVersion="6" refreshedVersion="6" minRefreshableVersion="3" recordCount="0" supportSubquery="1" supportAdvancedDrill="1">
  <cacheSource type="external" connectionId="1"/>
  <cacheFields count="3">
    <cacheField name="[Table_ExternalData_1].[Table2[Device Model]]].[Table2[Device Model]]]" caption="Table2[Device Model]" numFmtId="0" hierarchy="1" level="1">
      <sharedItems count="5">
        <s v="Google Pixel 5"/>
        <s v="iPhone 12"/>
        <s v="OnePlus 9"/>
        <s v="Samsung Galaxy S21"/>
        <s v="Xiaomi Mi 11"/>
      </sharedItems>
    </cacheField>
    <cacheField name="[Measures].[Average of Table2[Battery Drain (mAh/day)]]]" caption="Average of Table2[Battery Drain (mAh/day)]" numFmtId="0" hierarchy="52"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2" memberValueDatatype="130" unbalanced="0">
      <fieldsUsage count="2">
        <fieldUsage x="-1"/>
        <fieldUsage x="0"/>
      </fieldsUsage>
    </cacheHierarchy>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LENOVO" refreshedDate="45956.749257060183" backgroundQuery="1" createdVersion="6" refreshedVersion="6" minRefreshableVersion="3" recordCount="0" supportSubquery="1" supportAdvancedDrill="1">
  <cacheSource type="external" connectionId="1"/>
  <cacheFields count="3">
    <cacheField name="[Table2].[Device Model].[Device Model]" caption="Device Model" numFmtId="0" hierarchy="15" level="1">
      <sharedItems count="5">
        <s v="Google Pixel 5"/>
        <s v="iPhone 12"/>
        <s v="OnePlus 9"/>
        <s v="Samsung Galaxy S21"/>
        <s v="Xiaomi Mi 11"/>
      </sharedItems>
    </cacheField>
    <cacheField name="[Measures].[Average of App Usage Time (min/day)]" caption="Average of App Usage Time (min/day)" numFmtId="0" hierarchy="35"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0"/>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LENOVO" refreshedDate="45956.749257754629" backgroundQuery="1" createdVersion="6" refreshedVersion="6" minRefreshableVersion="3" recordCount="0" supportSubquery="1" supportAdvancedDrill="1">
  <cacheSource type="external" connectionId="1"/>
  <cacheFields count="3">
    <cacheField name="[Measures].[Average of Screen On Time (hours/day)]" caption="Average of Screen On Time (hours/day)" numFmtId="0" hierarchy="45" level="32767"/>
    <cacheField name="[Table2].[Device Model].[Device Model]" caption="Device Model" numFmtId="0" hierarchy="15" level="1">
      <sharedItems count="5">
        <s v="Google Pixel 5"/>
        <s v="iPhone 12"/>
        <s v="OnePlus 9"/>
        <s v="Samsung Galaxy S21"/>
        <s v="Xiaomi Mi 11"/>
      </sharedItems>
    </cacheField>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1"/>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LENOVO" refreshedDate="45956.749258333337" backgroundQuery="1" createdVersion="6" refreshedVersion="6" minRefreshableVersion="3" recordCount="0" supportSubquery="1" supportAdvancedDrill="1">
  <cacheSource type="external" connectionId="1"/>
  <cacheFields count="2">
    <cacheField name="[Table2].[Age-Range].[Age-Range]" caption="Age-Range" numFmtId="0" hierarchy="23" level="1">
      <sharedItems count="5">
        <s v="18 - 24"/>
        <s v="25 - 34"/>
        <s v="35 - 44"/>
        <s v="45 - 54"/>
        <s v="55 - 59"/>
      </sharedItems>
    </cacheField>
    <cacheField name="[Measures].[Average of Screen On Time (hours/day)]" caption="Average of Screen On Time (hours/day)" numFmtId="0" hierarchy="45" level="32767"/>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0"/>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LENOVO" refreshedDate="45956.749259143522" backgroundQuery="1" createdVersion="6" refreshedVersion="6" minRefreshableVersion="3" recordCount="0" supportSubquery="1" supportAdvancedDrill="1">
  <cacheSource type="external" connectionId="1"/>
  <cacheFields count="3">
    <cacheField name="[Table2].[Device Model].[Device Model]" caption="Device Model" numFmtId="0" hierarchy="15" level="1">
      <sharedItems count="5">
        <s v="Google Pixel 5"/>
        <s v="iPhone 12"/>
        <s v="OnePlus 9"/>
        <s v="Samsung Galaxy S21"/>
        <s v="Xiaomi Mi 11"/>
      </sharedItems>
    </cacheField>
    <cacheField name="[Measures].[Average of Screen On Time (hours/day)]" caption="Average of Screen On Time (hours/day)" numFmtId="0" hierarchy="45"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0"/>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LENOVO" refreshedDate="45956.749259259261" backgroundQuery="1" createdVersion="6" refreshedVersion="6" minRefreshableVersion="3" recordCount="0" supportSubquery="1" supportAdvancedDrill="1">
  <cacheSource type="external" connectionId="1"/>
  <cacheFields count="1">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0"/>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LENOVO" refreshedDate="45956.749259722223" backgroundQuery="1" createdVersion="6" refreshedVersion="6" minRefreshableVersion="3" recordCount="0" supportSubquery="1" supportAdvancedDrill="1">
  <cacheSource type="external" connectionId="1"/>
  <cacheFields count="3">
    <cacheField name="[Table2].[Device Model].[Device Model]" caption="Device Model" numFmtId="0" hierarchy="15" level="1">
      <sharedItems count="5">
        <s v="Google Pixel 5"/>
        <s v="iPhone 12"/>
        <s v="OnePlus 9"/>
        <s v="Samsung Galaxy S21"/>
        <s v="Xiaomi Mi 11"/>
      </sharedItems>
    </cacheField>
    <cacheField name="[Measures].[Average of Screen On Time (hours/day)]" caption="Average of Screen On Time (hours/day)" numFmtId="0" hierarchy="45"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0"/>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LENOVO" refreshedDate="45956.749260532408" backgroundQuery="1" createdVersion="6" refreshedVersion="6" minRefreshableVersion="3" recordCount="0" supportSubquery="1" supportAdvancedDrill="1">
  <cacheSource type="external" connectionId="1"/>
  <cacheFields count="3">
    <cacheField name="[Table2].[Device Model].[Device Model]" caption="Device Model" numFmtId="0" hierarchy="15" level="1">
      <sharedItems count="5">
        <s v="Google Pixel 5"/>
        <s v="iPhone 12"/>
        <s v="OnePlus 9"/>
        <s v="Samsung Galaxy S21"/>
        <s v="Xiaomi Mi 11"/>
      </sharedItems>
    </cacheField>
    <cacheField name="[Measures].[Average of Number of Apps Installed]" caption="Average of Number of Apps Installed" numFmtId="0" hierarchy="43" level="32767"/>
    <cacheField name="[Table2].[Age-Range].[Age-Range]" caption="Age-Range" numFmtId="0" hierarchy="23" level="1">
      <sharedItems containsSemiMixedTypes="0" containsNonDate="0" containsString="0"/>
    </cacheField>
  </cacheFields>
  <cacheHierarchies count="53">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fieldsUsage count="2">
        <fieldUsage x="-1"/>
        <fieldUsage x="0"/>
      </fieldsUsage>
    </cacheHierarchy>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fieldsUsage count="2">
        <fieldUsage x="-1"/>
        <fieldUsage x="2"/>
      </fieldsUsage>
    </cacheHierarchy>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Max of Table2[User ID]]]" caption="Max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Count of Table2[Device Model]]]" caption="Count of Table2[Device Model]" measure="1" displayFolder="" measureGroup="Table_ExternalData_1" count="0" hidden="1">
      <extLst>
        <ext xmlns:x15="http://schemas.microsoft.com/office/spreadsheetml/2010/11/main" uri="{B97F6D7D-B522-45F9-BDA1-12C45D357490}">
          <x15:cacheHierarchy aggregatedColumn="1"/>
        </ext>
      </extLst>
    </cacheHierarchy>
    <cacheHierarchy uniqueName="[Measures].[Sum of Table2[Battery Drain (mAh/day)]]]" caption="Sum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y uniqueName="[Measures].[Average of Table2[Battery Drain (mAh/day)]]]" caption="Average of Table2[Battery Drain (mAh/day)]" measure="1" displayFolder="" measureGroup="Table_ExternalData_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e_ExternalData_1" uniqueName="[Table_ExternalData_1]" caption="Table_ExternalData_1"/>
    <dimension name="Table2" uniqueName="[Table2]" caption="Table2"/>
  </dimensions>
  <measureGroups count="2">
    <measureGroup name="Table_ExternalData_1" caption="Table_ExternalData_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LENOVO" refreshedDate="45951.765437615744"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Table_ExternalData_1].[Table2[User ID]]]" caption="Table2[User ID]" attribute="1" defaultMemberUniqueName="[Table_ExternalData_1].[Table2[User ID]]].[All]" allUniqueName="[Table_ExternalData_1].[Table2[User ID]]].[All]" dimensionUniqueName="[Table_ExternalData_1]" displayFolder="" count="0" memberValueDatatype="20" unbalanced="0"/>
    <cacheHierarchy uniqueName="[Table_ExternalData_1].[Table2[Device Model]]]" caption="Table2[Device Model]" attribute="1" defaultMemberUniqueName="[Table_ExternalData_1].[Table2[Device Model]]].[All]" allUniqueName="[Table_ExternalData_1].[Table2[Device Model]]].[All]" dimensionUniqueName="[Table_ExternalData_1]" displayFolder="" count="0" memberValueDatatype="130" unbalanced="0"/>
    <cacheHierarchy uniqueName="[Table_ExternalData_1].[Table2[Operating System]]]" caption="Table2[Operating System]" attribute="1" defaultMemberUniqueName="[Table_ExternalData_1].[Table2[Operating System]]].[All]" allUniqueName="[Table_ExternalData_1].[Table2[Operating System]]].[All]" dimensionUniqueName="[Table_ExternalData_1]" displayFolder="" count="0" memberValueDatatype="130" unbalanced="0"/>
    <cacheHierarchy uniqueName="[Table_ExternalData_1].[Table2[App Usage Time (min/day)]]]" caption="Table2[App Usage Time (min/day)]" attribute="1" defaultMemberUniqueName="[Table_ExternalData_1].[Table2[App Usage Time (min/day)]]].[All]" allUniqueName="[Table_ExternalData_1].[Table2[App Usage Time (min/day)]]].[All]" dimensionUniqueName="[Table_ExternalData_1]" displayFolder="" count="0" memberValueDatatype="20" unbalanced="0"/>
    <cacheHierarchy uniqueName="[Table_ExternalData_1].[Table2[Screen On Time (hours/day)]]]" caption="Table2[Screen On Time (hours/day)]" attribute="1" defaultMemberUniqueName="[Table_ExternalData_1].[Table2[Screen On Time (hours/day)]]].[All]" allUniqueName="[Table_ExternalData_1].[Table2[Screen On Time (hours/day)]]].[All]" dimensionUniqueName="[Table_ExternalData_1]" displayFolder="" count="0" memberValueDatatype="5" unbalanced="0"/>
    <cacheHierarchy uniqueName="[Table_ExternalData_1].[Table2[Battery Drain (mAh/day)]]]" caption="Table2[Battery Drain (mAh/day)]" attribute="1" defaultMemberUniqueName="[Table_ExternalData_1].[Table2[Battery Drain (mAh/day)]]].[All]" allUniqueName="[Table_ExternalData_1].[Table2[Battery Drain (mAh/day)]]].[All]" dimensionUniqueName="[Table_ExternalData_1]" displayFolder="" count="0" memberValueDatatype="20" unbalanced="0"/>
    <cacheHierarchy uniqueName="[Table_ExternalData_1].[Table2[Number of Apps Installed]]]" caption="Table2[Number of Apps Installed]" attribute="1" defaultMemberUniqueName="[Table_ExternalData_1].[Table2[Number of Apps Installed]]].[All]" allUniqueName="[Table_ExternalData_1].[Table2[Number of Apps Installed]]].[All]" dimensionUniqueName="[Table_ExternalData_1]" displayFolder="" count="0" memberValueDatatype="20" unbalanced="0"/>
    <cacheHierarchy uniqueName="[Table_ExternalData_1].[Table2[Data Usage (MB/day)]]]" caption="Table2[Data Usage (MB/day)]" attribute="1" defaultMemberUniqueName="[Table_ExternalData_1].[Table2[Data Usage (MB/day)]]].[All]" allUniqueName="[Table_ExternalData_1].[Table2[Data Usage (MB/day)]]].[All]" dimensionUniqueName="[Table_ExternalData_1]" displayFolder="" count="0" memberValueDatatype="20" unbalanced="0"/>
    <cacheHierarchy uniqueName="[Table_ExternalData_1].[Table2[Age]]]" caption="Table2[Age]" attribute="1" defaultMemberUniqueName="[Table_ExternalData_1].[Table2[Age]]].[All]" allUniqueName="[Table_ExternalData_1].[Table2[Age]]].[All]" dimensionUniqueName="[Table_ExternalData_1]" displayFolder="" count="0" memberValueDatatype="20" unbalanced="0"/>
    <cacheHierarchy uniqueName="[Table_ExternalData_1].[Table2[Age-Range]]]" caption="Table2[Age-Range]" attribute="1" defaultMemberUniqueName="[Table_ExternalData_1].[Table2[Age-Range]]].[All]" allUniqueName="[Table_ExternalData_1].[Table2[Age-Range]]].[All]" dimensionUniqueName="[Table_ExternalData_1]" displayFolder="" count="0" memberValueDatatype="130" unbalanced="0"/>
    <cacheHierarchy uniqueName="[Table_ExternalData_1].[Table2[Group-Label]]]" caption="Table2[Group-Label]" attribute="1" defaultMemberUniqueName="[Table_ExternalData_1].[Table2[Group-Label]]].[All]" allUniqueName="[Table_ExternalData_1].[Table2[Group-Label]]].[All]" dimensionUniqueName="[Table_ExternalData_1]" displayFolder="" count="0" memberValueDatatype="130" unbalanced="0"/>
    <cacheHierarchy uniqueName="[Table_ExternalData_1].[Table2[Gender]]]" caption="Table2[Gender]" attribute="1" defaultMemberUniqueName="[Table_ExternalData_1].[Table2[Gender]]].[All]" allUniqueName="[Table_ExternalData_1].[Table2[Gender]]].[All]" dimensionUniqueName="[Table_ExternalData_1]" displayFolder="" count="0" memberValueDatatype="130" unbalanced="0"/>
    <cacheHierarchy uniqueName="[Table_ExternalData_1].[Table2[User Behavior Class]]]" caption="Table2[User Behavior Class]" attribute="1" defaultMemberUniqueName="[Table_ExternalData_1].[Table2[User Behavior Class]]].[All]" allUniqueName="[Table_ExternalData_1].[Table2[User Behavior Class]]].[All]" dimensionUniqueName="[Table_ExternalData_1]" displayFolder="" count="0" memberValueDatatype="20" unbalanced="0"/>
    <cacheHierarchy uniqueName="[Table_ExternalData_1].[Table2[User Behaviour Classification]]]" caption="Table2[User Behaviour Classification]" attribute="1" defaultMemberUniqueName="[Table_ExternalData_1].[Table2[User Behaviour Classification]]].[All]" allUniqueName="[Table_ExternalData_1].[Table2[User Behaviour Classification]]].[All]" dimensionUniqueName="[Table_ExternalData_1]" displayFolder="" count="0" memberValueDatatype="130" unbalanced="0"/>
    <cacheHierarchy uniqueName="[Table2].[User ID]" caption="User ID" attribute="1" defaultMemberUniqueName="[Table2].[User ID].[All]" allUniqueName="[Table2].[User ID].[All]" dimensionUniqueName="[Table2]" displayFolder="" count="0" memberValueDatatype="20" unbalanced="0"/>
    <cacheHierarchy uniqueName="[Table2].[Device Model]" caption="Device Model" attribute="1" defaultMemberUniqueName="[Table2].[Device Model].[All]" allUniqueName="[Table2].[Device Model].[All]" dimensionUniqueName="[Table2]" displayFolder="" count="2" memberValueDatatype="130" unbalanced="0"/>
    <cacheHierarchy uniqueName="[Table2].[Operating System]" caption="Operating System" attribute="1" defaultMemberUniqueName="[Table2].[Operating System].[All]" allUniqueName="[Table2].[Operating System].[All]" dimensionUniqueName="[Table2]" displayFolder="" count="2" memberValueDatatype="130" unbalanced="0"/>
    <cacheHierarchy uniqueName="[Table2].[App Usage Time (min/day)]" caption="App Usage Time (min/day)" attribute="1" defaultMemberUniqueName="[Table2].[App Usage Time (min/day)].[All]" allUniqueName="[Table2].[App Usage Time (min/day)].[All]" dimensionUniqueName="[Table2]" displayFolder="" count="0" memberValueDatatype="20" unbalanced="0"/>
    <cacheHierarchy uniqueName="[Table2].[Screen On Time (hours/day)]" caption="Screen On Time (hours/day)" attribute="1" defaultMemberUniqueName="[Table2].[Screen On Time (hours/day)].[All]" allUniqueName="[Table2].[Screen On Time (hours/day)].[All]" dimensionUniqueName="[Table2]" displayFolder="" count="0" memberValueDatatype="5" unbalanced="0"/>
    <cacheHierarchy uniqueName="[Table2].[Battery Drain (mAh/day)]" caption="Battery Drain (mAh/day)" attribute="1" defaultMemberUniqueName="[Table2].[Battery Drain (mAh/day)].[All]" allUniqueName="[Table2].[Battery Drain (mAh/day)].[All]" dimensionUniqueName="[Table2]" displayFolder="" count="0" memberValueDatatype="20" unbalanced="0"/>
    <cacheHierarchy uniqueName="[Table2].[Number of Apps Installed]" caption="Number of Apps Installed" attribute="1" defaultMemberUniqueName="[Table2].[Number of Apps Installed].[All]" allUniqueName="[Table2].[Number of Apps Installed].[All]" dimensionUniqueName="[Table2]" displayFolder="" count="0" memberValueDatatype="20" unbalanced="0"/>
    <cacheHierarchy uniqueName="[Table2].[Data Usage (MB/day)]" caption="Data Usage (MB/day)" attribute="1" defaultMemberUniqueName="[Table2].[Data Usage (MB/day)].[All]" allUniqueName="[Table2].[Data Usage (MB/day)].[All]" dimensionUniqueName="[Table2]" displayFolder="" count="0" memberValueDatatype="20" unbalanced="0"/>
    <cacheHierarchy uniqueName="[Table2].[Age]" caption="Age" attribute="1" defaultMemberUniqueName="[Table2].[Age].[All]" allUniqueName="[Table2].[Age].[All]" dimensionUniqueName="[Table2]" displayFolder="" count="0" memberValueDatatype="20" unbalanced="0"/>
    <cacheHierarchy uniqueName="[Table2].[Age-Range]" caption="Age-Range" attribute="1" defaultMemberUniqueName="[Table2].[Age-Range].[All]" allUniqueName="[Table2].[Age-Range].[All]" dimensionUniqueName="[Table2]" displayFolder="" count="2" memberValueDatatype="130" unbalanced="0"/>
    <cacheHierarchy uniqueName="[Table2].[Group-Label]" caption="Group-Label" attribute="1" defaultMemberUniqueName="[Table2].[Group-Label].[All]" allUniqueName="[Table2].[Group-Label].[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User Behavior Class]" caption="User Behavior Class" attribute="1" defaultMemberUniqueName="[Table2].[User Behavior Class].[All]" allUniqueName="[Table2].[User Behavior Class].[All]" dimensionUniqueName="[Table2]" displayFolder="" count="0" memberValueDatatype="20" unbalanced="0"/>
    <cacheHierarchy uniqueName="[Table2].[User Behaviour Classification]" caption="User Behaviour Classification" attribute="1" defaultMemberUniqueName="[Table2].[User Behaviour Classification].[All]" allUniqueName="[Table2].[User Behaviour Classification].[All]" dimensionUniqueName="[Table2]" displayFolder="" count="2" memberValueDatatype="130" unbalanced="0"/>
    <cacheHierarchy uniqueName="[Measures].[__XL_Count Table2]" caption="__XL_Count Table2" measure="1" displayFolder="" measureGroup="Table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Number of Apps Installed]" caption="Sum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Distinct Count of Number of Apps Installed]" caption="Distinct 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Table2" count="0" hidden="1">
      <extLst>
        <ext xmlns:x15="http://schemas.microsoft.com/office/spreadsheetml/2010/11/main" uri="{B97F6D7D-B522-45F9-BDA1-12C45D357490}">
          <x15:cacheHierarchy aggregatedColumn="25"/>
        </ext>
      </extLst>
    </cacheHierarchy>
    <cacheHierarchy uniqueName="[Measures].[Sum of App Usage Time (min/day)]" caption="Sum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Average of App Usage Time (min/day)]" caption="Average of App Usage Time (min/day)" measure="1" displayFolder="" measureGroup="Table2" count="0" hidden="1">
      <extLst>
        <ext xmlns:x15="http://schemas.microsoft.com/office/spreadsheetml/2010/11/main" uri="{B97F6D7D-B522-45F9-BDA1-12C45D357490}">
          <x15:cacheHierarchy aggregatedColumn="17"/>
        </ext>
      </extLst>
    </cacheHierarchy>
    <cacheHierarchy uniqueName="[Measures].[Sum of User ID]" caption="Sum of User ID" measure="1" displayFolder="" measureGroup="Table2" count="0" hidden="1">
      <extLst>
        <ext xmlns:x15="http://schemas.microsoft.com/office/spreadsheetml/2010/11/main" uri="{B97F6D7D-B522-45F9-BDA1-12C45D357490}">
          <x15:cacheHierarchy aggregatedColumn="14"/>
        </ext>
      </extLst>
    </cacheHierarchy>
    <cacheHierarchy uniqueName="[Measures].[Distinct Count of User ID]" caption="Distinct 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User ID]" caption="Count of User ID" measure="1" displayFolder="" measureGroup="Table2" count="0" hidden="1">
      <extLst>
        <ext xmlns:x15="http://schemas.microsoft.com/office/spreadsheetml/2010/11/main" uri="{B97F6D7D-B522-45F9-BDA1-12C45D357490}">
          <x15:cacheHierarchy aggregatedColumn="14"/>
        </ext>
      </extLst>
    </cacheHierarchy>
    <cacheHierarchy uniqueName="[Measures].[Count of Age-Range]" caption="Count of Age-Range" measure="1" displayFolder="" measureGroup="Table2" count="0" hidden="1">
      <extLst>
        <ext xmlns:x15="http://schemas.microsoft.com/office/spreadsheetml/2010/11/main" uri="{B97F6D7D-B522-45F9-BDA1-12C45D357490}">
          <x15:cacheHierarchy aggregatedColumn="23"/>
        </ext>
      </extLst>
    </cacheHierarchy>
    <cacheHierarchy uniqueName="[Measures].[Sum of Data Usage (MB/day)]" caption="Sum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Table2" count="0" hidden="1">
      <extLst>
        <ext xmlns:x15="http://schemas.microsoft.com/office/spreadsheetml/2010/11/main" uri="{B97F6D7D-B522-45F9-BDA1-12C45D357490}">
          <x15:cacheHierarchy aggregatedColumn="21"/>
        </ext>
      </extLst>
    </cacheHierarchy>
    <cacheHierarchy uniqueName="[Measures].[Count of Number of Apps Installed]" caption="Count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Table2" count="0" hidden="1">
      <extLst>
        <ext xmlns:x15="http://schemas.microsoft.com/office/spreadsheetml/2010/11/main" uri="{B97F6D7D-B522-45F9-BDA1-12C45D357490}">
          <x15:cacheHierarchy aggregatedColumn="20"/>
        </ext>
      </extLst>
    </cacheHierarchy>
    <cacheHierarchy uniqueName="[Measures].[Sum of Screen On Time (hours/day)]" caption="Sum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Average of Screen On Time (hours/day)]" caption="Average of Screen On Time (hours/day)" measure="1" displayFolder="" measureGroup="Table2" count="0" hidden="1">
      <extLst>
        <ext xmlns:x15="http://schemas.microsoft.com/office/spreadsheetml/2010/11/main" uri="{B97F6D7D-B522-45F9-BDA1-12C45D357490}">
          <x15:cacheHierarchy aggregatedColumn="18"/>
        </ext>
      </extLst>
    </cacheHierarchy>
    <cacheHierarchy uniqueName="[Measures].[Sum of Table2[User ID]]]" caption="Sum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Average of Table2[User ID]]]" caption="Average of Table2[User ID]" measure="1" displayFolder="" measureGroup="Table_ExternalData_1" count="0" hidden="1">
      <extLst>
        <ext xmlns:x15="http://schemas.microsoft.com/office/spreadsheetml/2010/11/main" uri="{B97F6D7D-B522-45F9-BDA1-12C45D357490}">
          <x15:cacheHierarchy aggregatedColumn="0"/>
        </ext>
      </extLst>
    </cacheHierarchy>
    <cacheHierarchy uniqueName="[Measures].[Distinct Count of Table2[User ID]]]" caption="Distinct Count of Table2[User ID]" measure="1" displayFolder="" measureGroup="Table_ExternalData_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700">
  <r>
    <n v="1"/>
    <x v="0"/>
    <s v="Android"/>
    <n v="393"/>
    <n v="6.4"/>
    <n v="1872"/>
    <n v="67"/>
    <n v="1122"/>
    <n v="40"/>
    <x v="0"/>
    <s v="Mid Career"/>
    <s v="Male"/>
    <n v="4"/>
    <x v="0"/>
  </r>
  <r>
    <n v="2"/>
    <x v="1"/>
    <s v="Android"/>
    <n v="268"/>
    <n v="4.7"/>
    <n v="1331"/>
    <n v="42"/>
    <n v="944"/>
    <n v="47"/>
    <x v="1"/>
    <s v="Mature Adults"/>
    <s v="Female"/>
    <n v="3"/>
    <x v="1"/>
  </r>
  <r>
    <n v="3"/>
    <x v="2"/>
    <s v="Android"/>
    <n v="154"/>
    <n v="4"/>
    <n v="761"/>
    <n v="32"/>
    <n v="322"/>
    <n v="42"/>
    <x v="0"/>
    <s v="Mid Career"/>
    <s v="Male"/>
    <n v="2"/>
    <x v="2"/>
  </r>
  <r>
    <n v="4"/>
    <x v="0"/>
    <s v="Android"/>
    <n v="239"/>
    <n v="4.8"/>
    <n v="1676"/>
    <n v="56"/>
    <n v="871"/>
    <n v="20"/>
    <x v="2"/>
    <s v="Young Adults"/>
    <s v="Male"/>
    <n v="3"/>
    <x v="1"/>
  </r>
  <r>
    <n v="5"/>
    <x v="3"/>
    <s v="iOS"/>
    <n v="187"/>
    <n v="4.3"/>
    <n v="1367"/>
    <n v="58"/>
    <n v="988"/>
    <n v="31"/>
    <x v="3"/>
    <s v="Early Career"/>
    <s v="Female"/>
    <n v="3"/>
    <x v="1"/>
  </r>
  <r>
    <n v="6"/>
    <x v="0"/>
    <s v="Android"/>
    <n v="99"/>
    <n v="2"/>
    <n v="940"/>
    <n v="35"/>
    <n v="564"/>
    <n v="31"/>
    <x v="3"/>
    <s v="Early Career"/>
    <s v="Male"/>
    <n v="2"/>
    <x v="2"/>
  </r>
  <r>
    <n v="7"/>
    <x v="4"/>
    <s v="Android"/>
    <n v="350"/>
    <n v="7.3"/>
    <n v="1802"/>
    <n v="66"/>
    <n v="1054"/>
    <n v="21"/>
    <x v="2"/>
    <s v="Young Adults"/>
    <s v="Female"/>
    <n v="4"/>
    <x v="0"/>
  </r>
  <r>
    <n v="8"/>
    <x v="1"/>
    <s v="Android"/>
    <n v="543"/>
    <n v="11.4"/>
    <n v="2956"/>
    <n v="82"/>
    <n v="1702"/>
    <n v="31"/>
    <x v="3"/>
    <s v="Early Career"/>
    <s v="Male"/>
    <n v="5"/>
    <x v="0"/>
  </r>
  <r>
    <n v="9"/>
    <x v="4"/>
    <s v="Android"/>
    <n v="340"/>
    <n v="7.7"/>
    <n v="2138"/>
    <n v="75"/>
    <n v="1053"/>
    <n v="42"/>
    <x v="0"/>
    <s v="Mid Career"/>
    <s v="Female"/>
    <n v="4"/>
    <x v="0"/>
  </r>
  <r>
    <n v="10"/>
    <x v="3"/>
    <s v="iOS"/>
    <n v="424"/>
    <n v="6.6"/>
    <n v="1957"/>
    <n v="75"/>
    <n v="1301"/>
    <n v="42"/>
    <x v="0"/>
    <s v="Mid Career"/>
    <s v="Male"/>
    <n v="4"/>
    <x v="0"/>
  </r>
  <r>
    <n v="11"/>
    <x v="0"/>
    <s v="Android"/>
    <n v="53"/>
    <n v="1.4"/>
    <n v="435"/>
    <n v="17"/>
    <n v="162"/>
    <n v="34"/>
    <x v="3"/>
    <s v="Early Career"/>
    <s v="Female"/>
    <n v="1"/>
    <x v="2"/>
  </r>
  <r>
    <n v="12"/>
    <x v="1"/>
    <s v="Android"/>
    <n v="215"/>
    <n v="5.5"/>
    <n v="1690"/>
    <n v="47"/>
    <n v="641"/>
    <n v="24"/>
    <x v="2"/>
    <s v="Young Adults"/>
    <s v="Male"/>
    <n v="3"/>
    <x v="1"/>
  </r>
  <r>
    <n v="13"/>
    <x v="1"/>
    <s v="Android"/>
    <n v="462"/>
    <n v="6.2"/>
    <n v="2303"/>
    <n v="65"/>
    <n v="1099"/>
    <n v="57"/>
    <x v="4"/>
    <s v="Pre-retirment"/>
    <s v="Female"/>
    <n v="4"/>
    <x v="0"/>
  </r>
  <r>
    <n v="14"/>
    <x v="2"/>
    <s v="Android"/>
    <n v="215"/>
    <n v="4.9000000000000004"/>
    <n v="1662"/>
    <n v="43"/>
    <n v="857"/>
    <n v="43"/>
    <x v="0"/>
    <s v="Mid Career"/>
    <s v="Male"/>
    <n v="3"/>
    <x v="1"/>
  </r>
  <r>
    <n v="15"/>
    <x v="3"/>
    <s v="iOS"/>
    <n v="189"/>
    <n v="5.4"/>
    <n v="1754"/>
    <n v="53"/>
    <n v="779"/>
    <n v="49"/>
    <x v="1"/>
    <s v="Mature Adults"/>
    <s v="Female"/>
    <n v="3"/>
    <x v="1"/>
  </r>
  <r>
    <n v="16"/>
    <x v="0"/>
    <s v="Android"/>
    <n v="503"/>
    <n v="10.4"/>
    <n v="2571"/>
    <n v="84"/>
    <n v="2025"/>
    <n v="39"/>
    <x v="0"/>
    <s v="Mid Career"/>
    <s v="Female"/>
    <n v="5"/>
    <x v="0"/>
  </r>
  <r>
    <n v="17"/>
    <x v="1"/>
    <s v="Android"/>
    <n v="132"/>
    <n v="3.6"/>
    <n v="628"/>
    <n v="32"/>
    <n v="344"/>
    <n v="47"/>
    <x v="1"/>
    <s v="Mature Adults"/>
    <s v="Female"/>
    <n v="2"/>
    <x v="2"/>
  </r>
  <r>
    <n v="18"/>
    <x v="3"/>
    <s v="iOS"/>
    <n v="299"/>
    <n v="5.8"/>
    <n v="1431"/>
    <n v="41"/>
    <n v="985"/>
    <n v="44"/>
    <x v="0"/>
    <s v="Mid Career"/>
    <s v="Female"/>
    <n v="3"/>
    <x v="1"/>
  </r>
  <r>
    <n v="19"/>
    <x v="0"/>
    <s v="Android"/>
    <n v="81"/>
    <n v="1.4"/>
    <n v="558"/>
    <n v="16"/>
    <n v="297"/>
    <n v="26"/>
    <x v="3"/>
    <s v="Early Career"/>
    <s v="Female"/>
    <n v="1"/>
    <x v="2"/>
  </r>
  <r>
    <n v="20"/>
    <x v="3"/>
    <s v="iOS"/>
    <n v="577"/>
    <n v="8.5"/>
    <n v="2774"/>
    <n v="89"/>
    <n v="2192"/>
    <n v="29"/>
    <x v="3"/>
    <s v="Early Career"/>
    <s v="Female"/>
    <n v="5"/>
    <x v="0"/>
  </r>
  <r>
    <n v="21"/>
    <x v="4"/>
    <s v="Android"/>
    <n v="93"/>
    <n v="2.6"/>
    <n v="681"/>
    <n v="37"/>
    <n v="302"/>
    <n v="45"/>
    <x v="1"/>
    <s v="Mature Adults"/>
    <s v="Female"/>
    <n v="2"/>
    <x v="2"/>
  </r>
  <r>
    <n v="22"/>
    <x v="1"/>
    <s v="Android"/>
    <n v="576"/>
    <n v="11.6"/>
    <n v="2803"/>
    <n v="82"/>
    <n v="1553"/>
    <n v="43"/>
    <x v="0"/>
    <s v="Mid Career"/>
    <s v="Female"/>
    <n v="5"/>
    <x v="0"/>
  </r>
  <r>
    <n v="23"/>
    <x v="4"/>
    <s v="Android"/>
    <n v="423"/>
    <n v="6.5"/>
    <n v="2094"/>
    <n v="65"/>
    <n v="1372"/>
    <n v="23"/>
    <x v="2"/>
    <s v="Young Adults"/>
    <s v="Female"/>
    <n v="4"/>
    <x v="0"/>
  </r>
  <r>
    <n v="24"/>
    <x v="0"/>
    <s v="Android"/>
    <n v="292"/>
    <n v="5.6"/>
    <n v="1401"/>
    <n v="46"/>
    <n v="949"/>
    <n v="37"/>
    <x v="0"/>
    <s v="Mid Career"/>
    <s v="Female"/>
    <n v="3"/>
    <x v="1"/>
  </r>
  <r>
    <n v="25"/>
    <x v="1"/>
    <s v="Android"/>
    <n v="216"/>
    <n v="4"/>
    <n v="1711"/>
    <n v="59"/>
    <n v="748"/>
    <n v="58"/>
    <x v="4"/>
    <s v="Pre-retirment"/>
    <s v="Male"/>
    <n v="3"/>
    <x v="1"/>
  </r>
  <r>
    <n v="26"/>
    <x v="4"/>
    <s v="Android"/>
    <n v="91"/>
    <n v="3.4"/>
    <n v="1073"/>
    <n v="38"/>
    <n v="451"/>
    <n v="52"/>
    <x v="1"/>
    <s v="Mature Adults"/>
    <s v="Male"/>
    <n v="2"/>
    <x v="2"/>
  </r>
  <r>
    <n v="27"/>
    <x v="3"/>
    <s v="iOS"/>
    <n v="444"/>
    <n v="7.6"/>
    <n v="2372"/>
    <n v="77"/>
    <n v="1002"/>
    <n v="29"/>
    <x v="3"/>
    <s v="Early Career"/>
    <s v="Male"/>
    <n v="4"/>
    <x v="0"/>
  </r>
  <r>
    <n v="28"/>
    <x v="0"/>
    <s v="Android"/>
    <n v="512"/>
    <n v="10.5"/>
    <n v="2409"/>
    <n v="89"/>
    <n v="1599"/>
    <n v="33"/>
    <x v="3"/>
    <s v="Early Career"/>
    <s v="Male"/>
    <n v="5"/>
    <x v="0"/>
  </r>
  <r>
    <n v="29"/>
    <x v="1"/>
    <s v="Android"/>
    <n v="452"/>
    <n v="6.8"/>
    <n v="2387"/>
    <n v="77"/>
    <n v="1456"/>
    <n v="55"/>
    <x v="4"/>
    <s v="Pre-retirment"/>
    <s v="Female"/>
    <n v="4"/>
    <x v="0"/>
  </r>
  <r>
    <n v="30"/>
    <x v="4"/>
    <s v="Android"/>
    <n v="412"/>
    <n v="6.2"/>
    <n v="1899"/>
    <n v="78"/>
    <n v="1384"/>
    <n v="19"/>
    <x v="2"/>
    <s v="Young Adults"/>
    <s v="Female"/>
    <n v="4"/>
    <x v="0"/>
  </r>
  <r>
    <n v="31"/>
    <x v="2"/>
    <s v="Android"/>
    <n v="260"/>
    <n v="6"/>
    <n v="1361"/>
    <n v="44"/>
    <n v="889"/>
    <n v="37"/>
    <x v="0"/>
    <s v="Mid Career"/>
    <s v="Female"/>
    <n v="3"/>
    <x v="1"/>
  </r>
  <r>
    <n v="32"/>
    <x v="2"/>
    <s v="Android"/>
    <n v="197"/>
    <n v="4.5999999999999996"/>
    <n v="1660"/>
    <n v="59"/>
    <n v="975"/>
    <n v="25"/>
    <x v="3"/>
    <s v="Early Career"/>
    <s v="Male"/>
    <n v="3"/>
    <x v="1"/>
  </r>
  <r>
    <n v="33"/>
    <x v="0"/>
    <s v="Android"/>
    <n v="278"/>
    <n v="4.7"/>
    <n v="1484"/>
    <n v="55"/>
    <n v="917"/>
    <n v="21"/>
    <x v="2"/>
    <s v="Young Adults"/>
    <s v="Male"/>
    <n v="3"/>
    <x v="1"/>
  </r>
  <r>
    <n v="34"/>
    <x v="0"/>
    <s v="Android"/>
    <n v="46"/>
    <n v="2"/>
    <n v="457"/>
    <n v="14"/>
    <n v="105"/>
    <n v="58"/>
    <x v="4"/>
    <s v="Pre-retirment"/>
    <s v="Male"/>
    <n v="1"/>
    <x v="2"/>
  </r>
  <r>
    <n v="35"/>
    <x v="2"/>
    <s v="Android"/>
    <n v="593"/>
    <n v="10.199999999999999"/>
    <n v="2499"/>
    <n v="81"/>
    <n v="1616"/>
    <n v="38"/>
    <x v="0"/>
    <s v="Mid Career"/>
    <s v="Female"/>
    <n v="5"/>
    <x v="0"/>
  </r>
  <r>
    <n v="36"/>
    <x v="4"/>
    <s v="Android"/>
    <n v="32"/>
    <n v="1.2"/>
    <n v="580"/>
    <n v="19"/>
    <n v="153"/>
    <n v="20"/>
    <x v="2"/>
    <s v="Young Adults"/>
    <s v="Female"/>
    <n v="1"/>
    <x v="2"/>
  </r>
  <r>
    <n v="37"/>
    <x v="3"/>
    <s v="iOS"/>
    <n v="122"/>
    <n v="3.3"/>
    <n v="755"/>
    <n v="30"/>
    <n v="573"/>
    <n v="26"/>
    <x v="3"/>
    <s v="Early Career"/>
    <s v="Male"/>
    <n v="2"/>
    <x v="2"/>
  </r>
  <r>
    <n v="38"/>
    <x v="4"/>
    <s v="Android"/>
    <n v="522"/>
    <n v="11.2"/>
    <n v="2808"/>
    <n v="93"/>
    <n v="2328"/>
    <n v="24"/>
    <x v="2"/>
    <s v="Young Adults"/>
    <s v="Male"/>
    <n v="5"/>
    <x v="0"/>
  </r>
  <r>
    <n v="39"/>
    <x v="1"/>
    <s v="Android"/>
    <n v="473"/>
    <n v="6.4"/>
    <n v="2312"/>
    <n v="74"/>
    <n v="1400"/>
    <n v="40"/>
    <x v="0"/>
    <s v="Mid Career"/>
    <s v="Male"/>
    <n v="4"/>
    <x v="0"/>
  </r>
  <r>
    <n v="40"/>
    <x v="4"/>
    <s v="Android"/>
    <n v="398"/>
    <n v="6.2"/>
    <n v="1851"/>
    <n v="77"/>
    <n v="1180"/>
    <n v="23"/>
    <x v="2"/>
    <s v="Young Adults"/>
    <s v="Male"/>
    <n v="4"/>
    <x v="0"/>
  </r>
  <r>
    <n v="41"/>
    <x v="2"/>
    <s v="Android"/>
    <n v="240"/>
    <n v="4.7"/>
    <n v="1464"/>
    <n v="52"/>
    <n v="708"/>
    <n v="56"/>
    <x v="4"/>
    <s v="Pre-retirment"/>
    <s v="Female"/>
    <n v="3"/>
    <x v="1"/>
  </r>
  <r>
    <n v="42"/>
    <x v="1"/>
    <s v="Android"/>
    <n v="576"/>
    <n v="10.1"/>
    <n v="2447"/>
    <n v="83"/>
    <n v="2323"/>
    <n v="33"/>
    <x v="3"/>
    <s v="Early Career"/>
    <s v="Male"/>
    <n v="5"/>
    <x v="0"/>
  </r>
  <r>
    <n v="43"/>
    <x v="4"/>
    <s v="Android"/>
    <n v="120"/>
    <n v="2.1"/>
    <n v="720"/>
    <n v="39"/>
    <n v="392"/>
    <n v="43"/>
    <x v="0"/>
    <s v="Mid Career"/>
    <s v="Male"/>
    <n v="2"/>
    <x v="2"/>
  </r>
  <r>
    <n v="44"/>
    <x v="4"/>
    <s v="Android"/>
    <n v="152"/>
    <n v="3.7"/>
    <n v="993"/>
    <n v="32"/>
    <n v="429"/>
    <n v="18"/>
    <x v="2"/>
    <s v="Young Adults"/>
    <s v="Male"/>
    <n v="2"/>
    <x v="2"/>
  </r>
  <r>
    <n v="45"/>
    <x v="2"/>
    <s v="Android"/>
    <n v="138"/>
    <n v="2.4"/>
    <n v="837"/>
    <n v="21"/>
    <n v="572"/>
    <n v="56"/>
    <x v="4"/>
    <s v="Pre-retirment"/>
    <s v="Female"/>
    <n v="2"/>
    <x v="2"/>
  </r>
  <r>
    <n v="46"/>
    <x v="2"/>
    <s v="Android"/>
    <n v="502"/>
    <n v="10.9"/>
    <n v="2476"/>
    <n v="96"/>
    <n v="1935"/>
    <n v="39"/>
    <x v="0"/>
    <s v="Mid Career"/>
    <s v="Male"/>
    <n v="5"/>
    <x v="0"/>
  </r>
  <r>
    <n v="47"/>
    <x v="1"/>
    <s v="Android"/>
    <n v="558"/>
    <n v="8.4"/>
    <n v="2447"/>
    <n v="97"/>
    <n v="1594"/>
    <n v="22"/>
    <x v="2"/>
    <s v="Young Adults"/>
    <s v="Female"/>
    <n v="5"/>
    <x v="0"/>
  </r>
  <r>
    <n v="48"/>
    <x v="4"/>
    <s v="Android"/>
    <n v="138"/>
    <n v="3.6"/>
    <n v="889"/>
    <n v="25"/>
    <n v="323"/>
    <n v="27"/>
    <x v="3"/>
    <s v="Early Career"/>
    <s v="Female"/>
    <n v="2"/>
    <x v="2"/>
  </r>
  <r>
    <n v="49"/>
    <x v="0"/>
    <s v="Android"/>
    <n v="580"/>
    <n v="8.1999999999999993"/>
    <n v="2623"/>
    <n v="90"/>
    <n v="2262"/>
    <n v="49"/>
    <x v="1"/>
    <s v="Mature Adults"/>
    <s v="Male"/>
    <n v="5"/>
    <x v="0"/>
  </r>
  <r>
    <n v="50"/>
    <x v="1"/>
    <s v="Android"/>
    <n v="589"/>
    <n v="8.6999999999999993"/>
    <n v="2736"/>
    <n v="82"/>
    <n v="1997"/>
    <n v="49"/>
    <x v="1"/>
    <s v="Mature Adults"/>
    <s v="Male"/>
    <n v="5"/>
    <x v="0"/>
  </r>
  <r>
    <n v="51"/>
    <x v="2"/>
    <s v="Android"/>
    <n v="452"/>
    <n v="7.4"/>
    <n v="2180"/>
    <n v="61"/>
    <n v="1417"/>
    <n v="54"/>
    <x v="1"/>
    <s v="Mature Adults"/>
    <s v="Female"/>
    <n v="4"/>
    <x v="0"/>
  </r>
  <r>
    <n v="52"/>
    <x v="2"/>
    <s v="Android"/>
    <n v="245"/>
    <n v="5.9"/>
    <n v="1243"/>
    <n v="52"/>
    <n v="885"/>
    <n v="29"/>
    <x v="3"/>
    <s v="Early Career"/>
    <s v="Male"/>
    <n v="3"/>
    <x v="1"/>
  </r>
  <r>
    <n v="53"/>
    <x v="4"/>
    <s v="Android"/>
    <n v="125"/>
    <n v="2.7"/>
    <n v="690"/>
    <n v="28"/>
    <n v="393"/>
    <n v="27"/>
    <x v="3"/>
    <s v="Early Career"/>
    <s v="Female"/>
    <n v="2"/>
    <x v="2"/>
  </r>
  <r>
    <n v="54"/>
    <x v="2"/>
    <s v="Android"/>
    <n v="97"/>
    <n v="2.2000000000000002"/>
    <n v="1101"/>
    <n v="38"/>
    <n v="375"/>
    <n v="53"/>
    <x v="1"/>
    <s v="Mature Adults"/>
    <s v="Male"/>
    <n v="2"/>
    <x v="2"/>
  </r>
  <r>
    <n v="55"/>
    <x v="0"/>
    <s v="Android"/>
    <n v="516"/>
    <n v="8.6999999999999993"/>
    <n v="2857"/>
    <n v="83"/>
    <n v="2189"/>
    <n v="53"/>
    <x v="1"/>
    <s v="Mature Adults"/>
    <s v="Female"/>
    <n v="5"/>
    <x v="0"/>
  </r>
  <r>
    <n v="56"/>
    <x v="3"/>
    <s v="iOS"/>
    <n v="68"/>
    <n v="1.6"/>
    <n v="450"/>
    <n v="14"/>
    <n v="111"/>
    <n v="30"/>
    <x v="3"/>
    <s v="Early Career"/>
    <s v="Male"/>
    <n v="1"/>
    <x v="2"/>
  </r>
  <r>
    <n v="57"/>
    <x v="1"/>
    <s v="Android"/>
    <n v="64"/>
    <n v="1.1000000000000001"/>
    <n v="572"/>
    <n v="10"/>
    <n v="161"/>
    <n v="42"/>
    <x v="0"/>
    <s v="Mid Career"/>
    <s v="Female"/>
    <n v="1"/>
    <x v="2"/>
  </r>
  <r>
    <n v="58"/>
    <x v="1"/>
    <s v="Android"/>
    <n v="539"/>
    <n v="8.4"/>
    <n v="2796"/>
    <n v="89"/>
    <n v="2415"/>
    <n v="26"/>
    <x v="3"/>
    <s v="Early Career"/>
    <s v="Male"/>
    <n v="5"/>
    <x v="0"/>
  </r>
  <r>
    <n v="59"/>
    <x v="2"/>
    <s v="Android"/>
    <n v="428"/>
    <n v="7"/>
    <n v="2306"/>
    <n v="75"/>
    <n v="1144"/>
    <n v="22"/>
    <x v="2"/>
    <s v="Young Adults"/>
    <s v="Male"/>
    <n v="4"/>
    <x v="0"/>
  </r>
  <r>
    <n v="60"/>
    <x v="3"/>
    <s v="iOS"/>
    <n v="325"/>
    <n v="7.1"/>
    <n v="2269"/>
    <n v="64"/>
    <n v="1053"/>
    <n v="56"/>
    <x v="4"/>
    <s v="Pre-retirment"/>
    <s v="Male"/>
    <n v="4"/>
    <x v="0"/>
  </r>
  <r>
    <n v="61"/>
    <x v="2"/>
    <s v="Android"/>
    <n v="522"/>
    <n v="11.9"/>
    <n v="2798"/>
    <n v="85"/>
    <n v="1663"/>
    <n v="28"/>
    <x v="3"/>
    <s v="Early Career"/>
    <s v="Female"/>
    <n v="5"/>
    <x v="0"/>
  </r>
  <r>
    <n v="62"/>
    <x v="2"/>
    <s v="Android"/>
    <n v="309"/>
    <n v="7.5"/>
    <n v="2292"/>
    <n v="77"/>
    <n v="1253"/>
    <n v="57"/>
    <x v="4"/>
    <s v="Pre-retirment"/>
    <s v="Female"/>
    <n v="4"/>
    <x v="0"/>
  </r>
  <r>
    <n v="63"/>
    <x v="2"/>
    <s v="Android"/>
    <n v="79"/>
    <n v="1.9"/>
    <n v="493"/>
    <n v="14"/>
    <n v="128"/>
    <n v="55"/>
    <x v="4"/>
    <s v="Pre-retirment"/>
    <s v="Male"/>
    <n v="1"/>
    <x v="2"/>
  </r>
  <r>
    <n v="64"/>
    <x v="2"/>
    <s v="Android"/>
    <n v="545"/>
    <n v="11.5"/>
    <n v="2911"/>
    <n v="87"/>
    <n v="1717"/>
    <n v="21"/>
    <x v="2"/>
    <s v="Young Adults"/>
    <s v="Female"/>
    <n v="5"/>
    <x v="0"/>
  </r>
  <r>
    <n v="65"/>
    <x v="4"/>
    <s v="Android"/>
    <n v="459"/>
    <n v="7"/>
    <n v="1982"/>
    <n v="67"/>
    <n v="1091"/>
    <n v="43"/>
    <x v="0"/>
    <s v="Mid Career"/>
    <s v="Male"/>
    <n v="4"/>
    <x v="0"/>
  </r>
  <r>
    <n v="66"/>
    <x v="3"/>
    <s v="iOS"/>
    <n v="225"/>
    <n v="4"/>
    <n v="1420"/>
    <n v="48"/>
    <n v="917"/>
    <n v="56"/>
    <x v="4"/>
    <s v="Pre-retirment"/>
    <s v="Male"/>
    <n v="3"/>
    <x v="1"/>
  </r>
  <r>
    <n v="67"/>
    <x v="3"/>
    <s v="iOS"/>
    <n v="257"/>
    <n v="4.5"/>
    <n v="1705"/>
    <n v="57"/>
    <n v="912"/>
    <n v="55"/>
    <x v="4"/>
    <s v="Pre-retirment"/>
    <s v="Male"/>
    <n v="3"/>
    <x v="1"/>
  </r>
  <r>
    <n v="68"/>
    <x v="2"/>
    <s v="Android"/>
    <n v="134"/>
    <n v="4"/>
    <n v="773"/>
    <n v="35"/>
    <n v="449"/>
    <n v="28"/>
    <x v="3"/>
    <s v="Early Career"/>
    <s v="Female"/>
    <n v="2"/>
    <x v="2"/>
  </r>
  <r>
    <n v="69"/>
    <x v="3"/>
    <s v="iOS"/>
    <n v="516"/>
    <n v="10.199999999999999"/>
    <n v="2932"/>
    <n v="98"/>
    <n v="1547"/>
    <n v="31"/>
    <x v="3"/>
    <s v="Early Career"/>
    <s v="Male"/>
    <n v="5"/>
    <x v="0"/>
  </r>
  <r>
    <n v="70"/>
    <x v="0"/>
    <s v="Android"/>
    <n v="82"/>
    <n v="1.7"/>
    <n v="558"/>
    <n v="16"/>
    <n v="284"/>
    <n v="29"/>
    <x v="3"/>
    <s v="Early Career"/>
    <s v="Female"/>
    <n v="1"/>
    <x v="2"/>
  </r>
  <r>
    <n v="71"/>
    <x v="4"/>
    <s v="Android"/>
    <n v="452"/>
    <n v="7.2"/>
    <n v="1808"/>
    <n v="64"/>
    <n v="1090"/>
    <n v="45"/>
    <x v="1"/>
    <s v="Mature Adults"/>
    <s v="Female"/>
    <n v="4"/>
    <x v="0"/>
  </r>
  <r>
    <n v="72"/>
    <x v="3"/>
    <s v="iOS"/>
    <n v="521"/>
    <n v="9"/>
    <n v="2902"/>
    <n v="97"/>
    <n v="1701"/>
    <n v="37"/>
    <x v="0"/>
    <s v="Mid Career"/>
    <s v="Male"/>
    <n v="5"/>
    <x v="0"/>
  </r>
  <r>
    <n v="73"/>
    <x v="0"/>
    <s v="Android"/>
    <n v="457"/>
    <n v="6.3"/>
    <n v="2347"/>
    <n v="66"/>
    <n v="1082"/>
    <n v="22"/>
    <x v="2"/>
    <s v="Young Adults"/>
    <s v="Male"/>
    <n v="4"/>
    <x v="0"/>
  </r>
  <r>
    <n v="74"/>
    <x v="2"/>
    <s v="Android"/>
    <n v="31"/>
    <n v="1.1000000000000001"/>
    <n v="585"/>
    <n v="11"/>
    <n v="208"/>
    <n v="50"/>
    <x v="1"/>
    <s v="Mature Adults"/>
    <s v="Female"/>
    <n v="1"/>
    <x v="2"/>
  </r>
  <r>
    <n v="75"/>
    <x v="3"/>
    <s v="iOS"/>
    <n v="47"/>
    <n v="2"/>
    <n v="476"/>
    <n v="14"/>
    <n v="125"/>
    <n v="39"/>
    <x v="0"/>
    <s v="Mid Career"/>
    <s v="Male"/>
    <n v="1"/>
    <x v="2"/>
  </r>
  <r>
    <n v="76"/>
    <x v="2"/>
    <s v="Android"/>
    <n v="229"/>
    <n v="5.7"/>
    <n v="1305"/>
    <n v="43"/>
    <n v="985"/>
    <n v="23"/>
    <x v="2"/>
    <s v="Young Adults"/>
    <s v="Female"/>
    <n v="3"/>
    <x v="1"/>
  </r>
  <r>
    <n v="77"/>
    <x v="2"/>
    <s v="Android"/>
    <n v="34"/>
    <n v="2"/>
    <n v="558"/>
    <n v="14"/>
    <n v="122"/>
    <n v="54"/>
    <x v="1"/>
    <s v="Mature Adults"/>
    <s v="Female"/>
    <n v="1"/>
    <x v="2"/>
  </r>
  <r>
    <n v="78"/>
    <x v="0"/>
    <s v="Android"/>
    <n v="173"/>
    <n v="2.5"/>
    <n v="678"/>
    <n v="29"/>
    <n v="301"/>
    <n v="30"/>
    <x v="3"/>
    <s v="Early Career"/>
    <s v="Female"/>
    <n v="2"/>
    <x v="2"/>
  </r>
  <r>
    <n v="79"/>
    <x v="4"/>
    <s v="Android"/>
    <n v="78"/>
    <n v="1.8"/>
    <n v="333"/>
    <n v="17"/>
    <n v="138"/>
    <n v="51"/>
    <x v="1"/>
    <s v="Mature Adults"/>
    <s v="Female"/>
    <n v="1"/>
    <x v="2"/>
  </r>
  <r>
    <n v="80"/>
    <x v="0"/>
    <s v="Android"/>
    <n v="230"/>
    <n v="5.7"/>
    <n v="1254"/>
    <n v="52"/>
    <n v="989"/>
    <n v="34"/>
    <x v="3"/>
    <s v="Early Career"/>
    <s v="Female"/>
    <n v="3"/>
    <x v="1"/>
  </r>
  <r>
    <n v="81"/>
    <x v="1"/>
    <s v="Android"/>
    <n v="565"/>
    <n v="10.6"/>
    <n v="2475"/>
    <n v="99"/>
    <n v="1603"/>
    <n v="51"/>
    <x v="1"/>
    <s v="Mature Adults"/>
    <s v="Female"/>
    <n v="5"/>
    <x v="0"/>
  </r>
  <r>
    <n v="82"/>
    <x v="3"/>
    <s v="iOS"/>
    <n v="172"/>
    <n v="2.8"/>
    <n v="1035"/>
    <n v="22"/>
    <n v="549"/>
    <n v="41"/>
    <x v="0"/>
    <s v="Mid Career"/>
    <s v="Male"/>
    <n v="2"/>
    <x v="2"/>
  </r>
  <r>
    <n v="83"/>
    <x v="2"/>
    <s v="Android"/>
    <n v="330"/>
    <n v="7.2"/>
    <n v="2363"/>
    <n v="77"/>
    <n v="1133"/>
    <n v="21"/>
    <x v="2"/>
    <s v="Young Adults"/>
    <s v="Female"/>
    <n v="4"/>
    <x v="0"/>
  </r>
  <r>
    <n v="84"/>
    <x v="2"/>
    <s v="Android"/>
    <n v="39"/>
    <n v="1.8"/>
    <n v="368"/>
    <n v="11"/>
    <n v="105"/>
    <n v="19"/>
    <x v="2"/>
    <s v="Young Adults"/>
    <s v="Male"/>
    <n v="1"/>
    <x v="2"/>
  </r>
  <r>
    <n v="85"/>
    <x v="0"/>
    <s v="Android"/>
    <n v="223"/>
    <n v="4.5"/>
    <n v="1311"/>
    <n v="56"/>
    <n v="695"/>
    <n v="33"/>
    <x v="3"/>
    <s v="Early Career"/>
    <s v="Female"/>
    <n v="3"/>
    <x v="1"/>
  </r>
  <r>
    <n v="86"/>
    <x v="0"/>
    <s v="Android"/>
    <n v="404"/>
    <n v="7.4"/>
    <n v="2081"/>
    <n v="63"/>
    <n v="1352"/>
    <n v="44"/>
    <x v="0"/>
    <s v="Mid Career"/>
    <s v="Male"/>
    <n v="4"/>
    <x v="0"/>
  </r>
  <r>
    <n v="87"/>
    <x v="4"/>
    <s v="Android"/>
    <n v="151"/>
    <n v="2.4"/>
    <n v="1003"/>
    <n v="25"/>
    <n v="392"/>
    <n v="39"/>
    <x v="0"/>
    <s v="Mid Career"/>
    <s v="Male"/>
    <n v="2"/>
    <x v="2"/>
  </r>
  <r>
    <n v="88"/>
    <x v="4"/>
    <s v="Android"/>
    <n v="34"/>
    <n v="1.5"/>
    <n v="345"/>
    <n v="11"/>
    <n v="276"/>
    <n v="44"/>
    <x v="0"/>
    <s v="Mid Career"/>
    <s v="Male"/>
    <n v="1"/>
    <x v="2"/>
  </r>
  <r>
    <n v="89"/>
    <x v="2"/>
    <s v="Android"/>
    <n v="137"/>
    <n v="3.3"/>
    <n v="839"/>
    <n v="31"/>
    <n v="348"/>
    <n v="34"/>
    <x v="3"/>
    <s v="Early Career"/>
    <s v="Female"/>
    <n v="2"/>
    <x v="2"/>
  </r>
  <r>
    <n v="90"/>
    <x v="4"/>
    <s v="Android"/>
    <n v="301"/>
    <n v="6.2"/>
    <n v="2053"/>
    <n v="75"/>
    <n v="1303"/>
    <n v="45"/>
    <x v="1"/>
    <s v="Mature Adults"/>
    <s v="Male"/>
    <n v="4"/>
    <x v="0"/>
  </r>
  <r>
    <n v="91"/>
    <x v="0"/>
    <s v="Android"/>
    <n v="116"/>
    <n v="2.1"/>
    <n v="912"/>
    <n v="39"/>
    <n v="307"/>
    <n v="40"/>
    <x v="0"/>
    <s v="Mid Career"/>
    <s v="Female"/>
    <n v="2"/>
    <x v="2"/>
  </r>
  <r>
    <n v="92"/>
    <x v="0"/>
    <s v="Android"/>
    <n v="291"/>
    <n v="4.0999999999999996"/>
    <n v="1474"/>
    <n v="46"/>
    <n v="827"/>
    <n v="32"/>
    <x v="3"/>
    <s v="Early Career"/>
    <s v="Female"/>
    <n v="3"/>
    <x v="1"/>
  </r>
  <r>
    <n v="93"/>
    <x v="3"/>
    <s v="iOS"/>
    <n v="84"/>
    <n v="1.4"/>
    <n v="501"/>
    <n v="16"/>
    <n v="284"/>
    <n v="56"/>
    <x v="4"/>
    <s v="Pre-retirment"/>
    <s v="Female"/>
    <n v="1"/>
    <x v="2"/>
  </r>
  <r>
    <n v="94"/>
    <x v="3"/>
    <s v="iOS"/>
    <n v="134"/>
    <n v="2.5"/>
    <n v="1125"/>
    <n v="24"/>
    <n v="367"/>
    <n v="35"/>
    <x v="0"/>
    <s v="Mid Career"/>
    <s v="Male"/>
    <n v="2"/>
    <x v="2"/>
  </r>
  <r>
    <n v="95"/>
    <x v="4"/>
    <s v="Android"/>
    <n v="411"/>
    <n v="7.5"/>
    <n v="2169"/>
    <n v="72"/>
    <n v="1083"/>
    <n v="58"/>
    <x v="4"/>
    <s v="Pre-retirment"/>
    <s v="Male"/>
    <n v="4"/>
    <x v="0"/>
  </r>
  <r>
    <n v="96"/>
    <x v="2"/>
    <s v="Android"/>
    <n v="326"/>
    <n v="7.2"/>
    <n v="2243"/>
    <n v="73"/>
    <n v="1454"/>
    <n v="50"/>
    <x v="1"/>
    <s v="Mature Adults"/>
    <s v="Male"/>
    <n v="4"/>
    <x v="0"/>
  </r>
  <r>
    <n v="97"/>
    <x v="3"/>
    <s v="iOS"/>
    <n v="550"/>
    <n v="9.5"/>
    <n v="2916"/>
    <n v="91"/>
    <n v="1946"/>
    <n v="20"/>
    <x v="2"/>
    <s v="Young Adults"/>
    <s v="Male"/>
    <n v="5"/>
    <x v="0"/>
  </r>
  <r>
    <n v="98"/>
    <x v="1"/>
    <s v="Android"/>
    <n v="516"/>
    <n v="12"/>
    <n v="2406"/>
    <n v="82"/>
    <n v="1968"/>
    <n v="28"/>
    <x v="3"/>
    <s v="Early Career"/>
    <s v="Female"/>
    <n v="5"/>
    <x v="0"/>
  </r>
  <r>
    <n v="99"/>
    <x v="0"/>
    <s v="Android"/>
    <n v="59"/>
    <n v="1.2"/>
    <n v="361"/>
    <n v="18"/>
    <n v="293"/>
    <n v="25"/>
    <x v="3"/>
    <s v="Early Career"/>
    <s v="Female"/>
    <n v="1"/>
    <x v="2"/>
  </r>
  <r>
    <n v="100"/>
    <x v="1"/>
    <s v="Android"/>
    <n v="225"/>
    <n v="5.5"/>
    <n v="1526"/>
    <n v="44"/>
    <n v="875"/>
    <n v="50"/>
    <x v="1"/>
    <s v="Mature Adults"/>
    <s v="Female"/>
    <n v="3"/>
    <x v="1"/>
  </r>
  <r>
    <n v="101"/>
    <x v="0"/>
    <s v="Android"/>
    <n v="41"/>
    <n v="1.1000000000000001"/>
    <n v="389"/>
    <n v="15"/>
    <n v="136"/>
    <n v="53"/>
    <x v="1"/>
    <s v="Mature Adults"/>
    <s v="Male"/>
    <n v="1"/>
    <x v="2"/>
  </r>
  <r>
    <n v="102"/>
    <x v="1"/>
    <s v="Android"/>
    <n v="183"/>
    <n v="4.0999999999999996"/>
    <n v="1210"/>
    <n v="45"/>
    <n v="738"/>
    <n v="19"/>
    <x v="2"/>
    <s v="Young Adults"/>
    <s v="Male"/>
    <n v="3"/>
    <x v="1"/>
  </r>
  <r>
    <n v="103"/>
    <x v="0"/>
    <s v="Android"/>
    <n v="174"/>
    <n v="2.5"/>
    <n v="929"/>
    <n v="37"/>
    <n v="565"/>
    <n v="32"/>
    <x v="3"/>
    <s v="Early Career"/>
    <s v="Female"/>
    <n v="2"/>
    <x v="2"/>
  </r>
  <r>
    <n v="104"/>
    <x v="2"/>
    <s v="Android"/>
    <n v="274"/>
    <n v="4.2"/>
    <n v="1781"/>
    <n v="52"/>
    <n v="934"/>
    <n v="28"/>
    <x v="3"/>
    <s v="Early Career"/>
    <s v="Male"/>
    <n v="3"/>
    <x v="1"/>
  </r>
  <r>
    <n v="105"/>
    <x v="2"/>
    <s v="Android"/>
    <n v="166"/>
    <n v="2.8"/>
    <n v="1113"/>
    <n v="28"/>
    <n v="360"/>
    <n v="25"/>
    <x v="3"/>
    <s v="Early Career"/>
    <s v="Male"/>
    <n v="2"/>
    <x v="2"/>
  </r>
  <r>
    <n v="106"/>
    <x v="2"/>
    <s v="Android"/>
    <n v="66"/>
    <n v="1.2"/>
    <n v="585"/>
    <n v="12"/>
    <n v="264"/>
    <n v="36"/>
    <x v="0"/>
    <s v="Mid Career"/>
    <s v="Male"/>
    <n v="1"/>
    <x v="2"/>
  </r>
  <r>
    <n v="107"/>
    <x v="0"/>
    <s v="Android"/>
    <n v="152"/>
    <n v="2.7"/>
    <n v="642"/>
    <n v="38"/>
    <n v="596"/>
    <n v="55"/>
    <x v="4"/>
    <s v="Pre-retirment"/>
    <s v="Male"/>
    <n v="2"/>
    <x v="2"/>
  </r>
  <r>
    <n v="108"/>
    <x v="0"/>
    <s v="Android"/>
    <n v="54"/>
    <n v="1.4"/>
    <n v="403"/>
    <n v="17"/>
    <n v="278"/>
    <n v="23"/>
    <x v="2"/>
    <s v="Young Adults"/>
    <s v="Female"/>
    <n v="1"/>
    <x v="2"/>
  </r>
  <r>
    <n v="109"/>
    <x v="2"/>
    <s v="Android"/>
    <n v="187"/>
    <n v="5.5"/>
    <n v="1754"/>
    <n v="55"/>
    <n v="711"/>
    <n v="50"/>
    <x v="1"/>
    <s v="Mature Adults"/>
    <s v="Female"/>
    <n v="3"/>
    <x v="1"/>
  </r>
  <r>
    <n v="110"/>
    <x v="1"/>
    <s v="Android"/>
    <n v="216"/>
    <n v="6"/>
    <n v="1641"/>
    <n v="41"/>
    <n v="889"/>
    <n v="39"/>
    <x v="0"/>
    <s v="Mid Career"/>
    <s v="Female"/>
    <n v="3"/>
    <x v="1"/>
  </r>
  <r>
    <n v="111"/>
    <x v="1"/>
    <s v="Android"/>
    <n v="95"/>
    <n v="3.8"/>
    <n v="718"/>
    <n v="26"/>
    <n v="459"/>
    <n v="41"/>
    <x v="0"/>
    <s v="Mid Career"/>
    <s v="Female"/>
    <n v="2"/>
    <x v="2"/>
  </r>
  <r>
    <n v="112"/>
    <x v="2"/>
    <s v="Android"/>
    <n v="488"/>
    <n v="8.6"/>
    <n v="2447"/>
    <n v="84"/>
    <n v="2344"/>
    <n v="19"/>
    <x v="2"/>
    <s v="Young Adults"/>
    <s v="Male"/>
    <n v="5"/>
    <x v="0"/>
  </r>
  <r>
    <n v="113"/>
    <x v="0"/>
    <s v="Android"/>
    <n v="295"/>
    <n v="5.0999999999999996"/>
    <n v="1483"/>
    <n v="45"/>
    <n v="748"/>
    <n v="27"/>
    <x v="3"/>
    <s v="Early Career"/>
    <s v="Female"/>
    <n v="3"/>
    <x v="1"/>
  </r>
  <r>
    <n v="114"/>
    <x v="4"/>
    <s v="Android"/>
    <n v="136"/>
    <n v="3.2"/>
    <n v="818"/>
    <n v="33"/>
    <n v="404"/>
    <n v="42"/>
    <x v="0"/>
    <s v="Mid Career"/>
    <s v="Male"/>
    <n v="2"/>
    <x v="2"/>
  </r>
  <r>
    <n v="115"/>
    <x v="2"/>
    <s v="Android"/>
    <n v="471"/>
    <n v="7.9"/>
    <n v="2156"/>
    <n v="76"/>
    <n v="1324"/>
    <n v="54"/>
    <x v="1"/>
    <s v="Mature Adults"/>
    <s v="Female"/>
    <n v="4"/>
    <x v="0"/>
  </r>
  <r>
    <n v="116"/>
    <x v="3"/>
    <s v="iOS"/>
    <n v="121"/>
    <n v="3.2"/>
    <n v="651"/>
    <n v="34"/>
    <n v="596"/>
    <n v="39"/>
    <x v="0"/>
    <s v="Mid Career"/>
    <s v="Male"/>
    <n v="2"/>
    <x v="2"/>
  </r>
  <r>
    <n v="117"/>
    <x v="3"/>
    <s v="iOS"/>
    <n v="75"/>
    <n v="1.2"/>
    <n v="409"/>
    <n v="13"/>
    <n v="281"/>
    <n v="18"/>
    <x v="2"/>
    <s v="Young Adults"/>
    <s v="Male"/>
    <n v="1"/>
    <x v="2"/>
  </r>
  <r>
    <n v="118"/>
    <x v="3"/>
    <s v="iOS"/>
    <n v="220"/>
    <n v="5.2"/>
    <n v="1631"/>
    <n v="49"/>
    <n v="909"/>
    <n v="27"/>
    <x v="3"/>
    <s v="Early Career"/>
    <s v="Female"/>
    <n v="3"/>
    <x v="1"/>
  </r>
  <r>
    <n v="119"/>
    <x v="4"/>
    <s v="Android"/>
    <n v="82"/>
    <n v="1.6"/>
    <n v="590"/>
    <n v="13"/>
    <n v="124"/>
    <n v="28"/>
    <x v="3"/>
    <s v="Early Career"/>
    <s v="Female"/>
    <n v="1"/>
    <x v="2"/>
  </r>
  <r>
    <n v="120"/>
    <x v="0"/>
    <s v="Android"/>
    <n v="97"/>
    <n v="2.7"/>
    <n v="1018"/>
    <n v="37"/>
    <n v="428"/>
    <n v="41"/>
    <x v="0"/>
    <s v="Mid Career"/>
    <s v="Male"/>
    <n v="2"/>
    <x v="2"/>
  </r>
  <r>
    <n v="121"/>
    <x v="4"/>
    <s v="Android"/>
    <n v="388"/>
    <n v="6.6"/>
    <n v="2085"/>
    <n v="71"/>
    <n v="1150"/>
    <n v="45"/>
    <x v="1"/>
    <s v="Mature Adults"/>
    <s v="Female"/>
    <n v="4"/>
    <x v="0"/>
  </r>
  <r>
    <n v="122"/>
    <x v="1"/>
    <s v="Android"/>
    <n v="529"/>
    <n v="8.6999999999999993"/>
    <n v="2484"/>
    <n v="89"/>
    <n v="2189"/>
    <n v="39"/>
    <x v="0"/>
    <s v="Mid Career"/>
    <s v="Female"/>
    <n v="5"/>
    <x v="0"/>
  </r>
  <r>
    <n v="123"/>
    <x v="0"/>
    <s v="Android"/>
    <n v="584"/>
    <n v="10"/>
    <n v="2541"/>
    <n v="99"/>
    <n v="2391"/>
    <n v="49"/>
    <x v="1"/>
    <s v="Mature Adults"/>
    <s v="Female"/>
    <n v="5"/>
    <x v="0"/>
  </r>
  <r>
    <n v="124"/>
    <x v="0"/>
    <s v="Android"/>
    <n v="529"/>
    <n v="8.1"/>
    <n v="2686"/>
    <n v="96"/>
    <n v="1924"/>
    <n v="35"/>
    <x v="0"/>
    <s v="Mid Career"/>
    <s v="Male"/>
    <n v="5"/>
    <x v="0"/>
  </r>
  <r>
    <n v="125"/>
    <x v="0"/>
    <s v="Android"/>
    <n v="227"/>
    <n v="5.0999999999999996"/>
    <n v="1702"/>
    <n v="57"/>
    <n v="714"/>
    <n v="21"/>
    <x v="2"/>
    <s v="Young Adults"/>
    <s v="Male"/>
    <n v="3"/>
    <x v="1"/>
  </r>
  <r>
    <n v="126"/>
    <x v="4"/>
    <s v="Android"/>
    <n v="535"/>
    <n v="11.8"/>
    <n v="2858"/>
    <n v="99"/>
    <n v="2378"/>
    <n v="50"/>
    <x v="1"/>
    <s v="Mature Adults"/>
    <s v="Male"/>
    <n v="5"/>
    <x v="0"/>
  </r>
  <r>
    <n v="127"/>
    <x v="3"/>
    <s v="iOS"/>
    <n v="332"/>
    <n v="7.4"/>
    <n v="2149"/>
    <n v="68"/>
    <n v="1321"/>
    <n v="20"/>
    <x v="2"/>
    <s v="Young Adults"/>
    <s v="Female"/>
    <n v="4"/>
    <x v="0"/>
  </r>
  <r>
    <n v="128"/>
    <x v="0"/>
    <s v="Android"/>
    <n v="252"/>
    <n v="4.2"/>
    <n v="1439"/>
    <n v="45"/>
    <n v="667"/>
    <n v="50"/>
    <x v="1"/>
    <s v="Mature Adults"/>
    <s v="Female"/>
    <n v="3"/>
    <x v="1"/>
  </r>
  <r>
    <n v="129"/>
    <x v="2"/>
    <s v="Android"/>
    <n v="125"/>
    <n v="2.5"/>
    <n v="678"/>
    <n v="34"/>
    <n v="465"/>
    <n v="31"/>
    <x v="3"/>
    <s v="Early Career"/>
    <s v="Male"/>
    <n v="2"/>
    <x v="2"/>
  </r>
  <r>
    <n v="130"/>
    <x v="2"/>
    <s v="Android"/>
    <n v="97"/>
    <n v="3.3"/>
    <n v="751"/>
    <n v="39"/>
    <n v="412"/>
    <n v="36"/>
    <x v="0"/>
    <s v="Mid Career"/>
    <s v="Female"/>
    <n v="2"/>
    <x v="2"/>
  </r>
  <r>
    <n v="131"/>
    <x v="0"/>
    <s v="Android"/>
    <n v="540"/>
    <n v="10.8"/>
    <n v="2923"/>
    <n v="90"/>
    <n v="1886"/>
    <n v="40"/>
    <x v="0"/>
    <s v="Mid Career"/>
    <s v="Male"/>
    <n v="5"/>
    <x v="0"/>
  </r>
  <r>
    <n v="132"/>
    <x v="2"/>
    <s v="Android"/>
    <n v="320"/>
    <n v="7.2"/>
    <n v="2056"/>
    <n v="69"/>
    <n v="1226"/>
    <n v="52"/>
    <x v="1"/>
    <s v="Mature Adults"/>
    <s v="Female"/>
    <n v="4"/>
    <x v="0"/>
  </r>
  <r>
    <n v="133"/>
    <x v="0"/>
    <s v="Android"/>
    <n v="176"/>
    <n v="3.6"/>
    <n v="1193"/>
    <n v="30"/>
    <n v="458"/>
    <n v="40"/>
    <x v="0"/>
    <s v="Mid Career"/>
    <s v="Female"/>
    <n v="2"/>
    <x v="2"/>
  </r>
  <r>
    <n v="134"/>
    <x v="4"/>
    <s v="Android"/>
    <n v="79"/>
    <n v="1"/>
    <n v="313"/>
    <n v="18"/>
    <n v="139"/>
    <n v="42"/>
    <x v="0"/>
    <s v="Mid Career"/>
    <s v="Male"/>
    <n v="1"/>
    <x v="2"/>
  </r>
  <r>
    <n v="135"/>
    <x v="2"/>
    <s v="Android"/>
    <n v="83"/>
    <n v="1.6"/>
    <n v="303"/>
    <n v="19"/>
    <n v="285"/>
    <n v="51"/>
    <x v="1"/>
    <s v="Mature Adults"/>
    <s v="Male"/>
    <n v="1"/>
    <x v="2"/>
  </r>
  <r>
    <n v="136"/>
    <x v="3"/>
    <s v="iOS"/>
    <n v="555"/>
    <n v="11.3"/>
    <n v="2528"/>
    <n v="90"/>
    <n v="1856"/>
    <n v="55"/>
    <x v="4"/>
    <s v="Pre-retirment"/>
    <s v="Female"/>
    <n v="5"/>
    <x v="0"/>
  </r>
  <r>
    <n v="137"/>
    <x v="4"/>
    <s v="Android"/>
    <n v="66"/>
    <n v="1.7"/>
    <n v="375"/>
    <n v="16"/>
    <n v="216"/>
    <n v="39"/>
    <x v="0"/>
    <s v="Mid Career"/>
    <s v="Male"/>
    <n v="1"/>
    <x v="2"/>
  </r>
  <r>
    <n v="138"/>
    <x v="2"/>
    <s v="Android"/>
    <n v="237"/>
    <n v="4.5"/>
    <n v="1368"/>
    <n v="42"/>
    <n v="868"/>
    <n v="24"/>
    <x v="2"/>
    <s v="Young Adults"/>
    <s v="Female"/>
    <n v="3"/>
    <x v="1"/>
  </r>
  <r>
    <n v="139"/>
    <x v="4"/>
    <s v="Android"/>
    <n v="497"/>
    <n v="9.6999999999999993"/>
    <n v="2876"/>
    <n v="94"/>
    <n v="2076"/>
    <n v="18"/>
    <x v="2"/>
    <s v="Young Adults"/>
    <s v="Male"/>
    <n v="5"/>
    <x v="0"/>
  </r>
  <r>
    <n v="140"/>
    <x v="0"/>
    <s v="Android"/>
    <n v="516"/>
    <n v="11.1"/>
    <n v="2429"/>
    <n v="91"/>
    <n v="1796"/>
    <n v="53"/>
    <x v="1"/>
    <s v="Mature Adults"/>
    <s v="Male"/>
    <n v="5"/>
    <x v="0"/>
  </r>
  <r>
    <n v="141"/>
    <x v="2"/>
    <s v="Android"/>
    <n v="219"/>
    <n v="5.2"/>
    <n v="1510"/>
    <n v="42"/>
    <n v="655"/>
    <n v="50"/>
    <x v="1"/>
    <s v="Mature Adults"/>
    <s v="Female"/>
    <n v="3"/>
    <x v="1"/>
  </r>
  <r>
    <n v="142"/>
    <x v="0"/>
    <s v="Android"/>
    <n v="448"/>
    <n v="6.3"/>
    <n v="2044"/>
    <n v="71"/>
    <n v="1337"/>
    <n v="51"/>
    <x v="1"/>
    <s v="Mature Adults"/>
    <s v="Male"/>
    <n v="4"/>
    <x v="0"/>
  </r>
  <r>
    <n v="143"/>
    <x v="3"/>
    <s v="iOS"/>
    <n v="156"/>
    <n v="2.2000000000000002"/>
    <n v="896"/>
    <n v="37"/>
    <n v="429"/>
    <n v="57"/>
    <x v="4"/>
    <s v="Pre-retirment"/>
    <s v="Female"/>
    <n v="2"/>
    <x v="2"/>
  </r>
  <r>
    <n v="144"/>
    <x v="4"/>
    <s v="Android"/>
    <n v="68"/>
    <n v="1.1000000000000001"/>
    <n v="528"/>
    <n v="12"/>
    <n v="201"/>
    <n v="29"/>
    <x v="3"/>
    <s v="Early Career"/>
    <s v="Male"/>
    <n v="1"/>
    <x v="2"/>
  </r>
  <r>
    <n v="145"/>
    <x v="3"/>
    <s v="iOS"/>
    <n v="524"/>
    <n v="11.2"/>
    <n v="2417"/>
    <n v="90"/>
    <n v="2069"/>
    <n v="29"/>
    <x v="3"/>
    <s v="Early Career"/>
    <s v="Female"/>
    <n v="5"/>
    <x v="0"/>
  </r>
  <r>
    <n v="146"/>
    <x v="3"/>
    <s v="iOS"/>
    <n v="188"/>
    <n v="5.3"/>
    <n v="1281"/>
    <n v="45"/>
    <n v="974"/>
    <n v="35"/>
    <x v="0"/>
    <s v="Mid Career"/>
    <s v="Male"/>
    <n v="3"/>
    <x v="1"/>
  </r>
  <r>
    <n v="147"/>
    <x v="4"/>
    <s v="Android"/>
    <n v="443"/>
    <n v="7.4"/>
    <n v="2289"/>
    <n v="73"/>
    <n v="1026"/>
    <n v="33"/>
    <x v="3"/>
    <s v="Early Career"/>
    <s v="Male"/>
    <n v="4"/>
    <x v="0"/>
  </r>
  <r>
    <n v="148"/>
    <x v="2"/>
    <s v="Android"/>
    <n v="52"/>
    <n v="1.6"/>
    <n v="385"/>
    <n v="19"/>
    <n v="234"/>
    <n v="24"/>
    <x v="2"/>
    <s v="Young Adults"/>
    <s v="Male"/>
    <n v="1"/>
    <x v="2"/>
  </r>
  <r>
    <n v="149"/>
    <x v="1"/>
    <s v="Android"/>
    <n v="228"/>
    <n v="4.2"/>
    <n v="1677"/>
    <n v="58"/>
    <n v="823"/>
    <n v="56"/>
    <x v="4"/>
    <s v="Pre-retirment"/>
    <s v="Male"/>
    <n v="3"/>
    <x v="1"/>
  </r>
  <r>
    <n v="150"/>
    <x v="0"/>
    <s v="Android"/>
    <n v="149"/>
    <n v="3.7"/>
    <n v="873"/>
    <n v="34"/>
    <n v="459"/>
    <n v="51"/>
    <x v="1"/>
    <s v="Mature Adults"/>
    <s v="Male"/>
    <n v="2"/>
    <x v="2"/>
  </r>
  <r>
    <n v="151"/>
    <x v="3"/>
    <s v="iOS"/>
    <n v="523"/>
    <n v="9.4"/>
    <n v="2583"/>
    <n v="92"/>
    <n v="1539"/>
    <n v="21"/>
    <x v="2"/>
    <s v="Young Adults"/>
    <s v="Male"/>
    <n v="5"/>
    <x v="0"/>
  </r>
  <r>
    <n v="152"/>
    <x v="4"/>
    <s v="Android"/>
    <n v="42"/>
    <n v="1.6"/>
    <n v="315"/>
    <n v="19"/>
    <n v="207"/>
    <n v="52"/>
    <x v="1"/>
    <s v="Mature Adults"/>
    <s v="Female"/>
    <n v="1"/>
    <x v="2"/>
  </r>
  <r>
    <n v="153"/>
    <x v="0"/>
    <s v="Android"/>
    <n v="120"/>
    <n v="2"/>
    <n v="741"/>
    <n v="38"/>
    <n v="396"/>
    <n v="56"/>
    <x v="4"/>
    <s v="Pre-retirment"/>
    <s v="Female"/>
    <n v="2"/>
    <x v="2"/>
  </r>
  <r>
    <n v="154"/>
    <x v="1"/>
    <s v="Android"/>
    <n v="329"/>
    <n v="7.5"/>
    <n v="2277"/>
    <n v="72"/>
    <n v="1185"/>
    <n v="27"/>
    <x v="3"/>
    <s v="Early Career"/>
    <s v="Female"/>
    <n v="4"/>
    <x v="0"/>
  </r>
  <r>
    <n v="155"/>
    <x v="2"/>
    <s v="Android"/>
    <n v="68"/>
    <n v="1.5"/>
    <n v="364"/>
    <n v="10"/>
    <n v="102"/>
    <n v="31"/>
    <x v="3"/>
    <s v="Early Career"/>
    <s v="Female"/>
    <n v="1"/>
    <x v="2"/>
  </r>
  <r>
    <n v="156"/>
    <x v="2"/>
    <s v="Android"/>
    <n v="158"/>
    <n v="3.4"/>
    <n v="893"/>
    <n v="36"/>
    <n v="493"/>
    <n v="32"/>
    <x v="3"/>
    <s v="Early Career"/>
    <s v="Male"/>
    <n v="2"/>
    <x v="2"/>
  </r>
  <r>
    <n v="157"/>
    <x v="2"/>
    <s v="Android"/>
    <n v="86"/>
    <n v="1.7"/>
    <n v="439"/>
    <n v="19"/>
    <n v="136"/>
    <n v="54"/>
    <x v="1"/>
    <s v="Mature Adults"/>
    <s v="Male"/>
    <n v="1"/>
    <x v="2"/>
  </r>
  <r>
    <n v="158"/>
    <x v="2"/>
    <s v="Android"/>
    <n v="339"/>
    <n v="7.8"/>
    <n v="2102"/>
    <n v="71"/>
    <n v="1062"/>
    <n v="51"/>
    <x v="1"/>
    <s v="Mature Adults"/>
    <s v="Male"/>
    <n v="4"/>
    <x v="0"/>
  </r>
  <r>
    <n v="159"/>
    <x v="4"/>
    <s v="Android"/>
    <n v="304"/>
    <n v="6.5"/>
    <n v="2375"/>
    <n v="79"/>
    <n v="1493"/>
    <n v="51"/>
    <x v="1"/>
    <s v="Mature Adults"/>
    <s v="Male"/>
    <n v="4"/>
    <x v="0"/>
  </r>
  <r>
    <n v="160"/>
    <x v="2"/>
    <s v="Android"/>
    <n v="131"/>
    <n v="2.4"/>
    <n v="859"/>
    <n v="26"/>
    <n v="305"/>
    <n v="40"/>
    <x v="0"/>
    <s v="Mid Career"/>
    <s v="Male"/>
    <n v="2"/>
    <x v="2"/>
  </r>
  <r>
    <n v="161"/>
    <x v="4"/>
    <s v="Android"/>
    <n v="64"/>
    <n v="1.6"/>
    <n v="540"/>
    <n v="19"/>
    <n v="262"/>
    <n v="35"/>
    <x v="0"/>
    <s v="Mid Career"/>
    <s v="Female"/>
    <n v="1"/>
    <x v="2"/>
  </r>
  <r>
    <n v="162"/>
    <x v="2"/>
    <s v="Android"/>
    <n v="53"/>
    <n v="1.9"/>
    <n v="526"/>
    <n v="15"/>
    <n v="112"/>
    <n v="42"/>
    <x v="0"/>
    <s v="Mid Career"/>
    <s v="Male"/>
    <n v="1"/>
    <x v="2"/>
  </r>
  <r>
    <n v="163"/>
    <x v="0"/>
    <s v="Android"/>
    <n v="442"/>
    <n v="7.7"/>
    <n v="2067"/>
    <n v="69"/>
    <n v="1440"/>
    <n v="45"/>
    <x v="1"/>
    <s v="Mature Adults"/>
    <s v="Male"/>
    <n v="4"/>
    <x v="0"/>
  </r>
  <r>
    <n v="164"/>
    <x v="3"/>
    <s v="iOS"/>
    <n v="32"/>
    <n v="2"/>
    <n v="469"/>
    <n v="18"/>
    <n v="139"/>
    <n v="22"/>
    <x v="2"/>
    <s v="Young Adults"/>
    <s v="Male"/>
    <n v="1"/>
    <x v="2"/>
  </r>
  <r>
    <n v="165"/>
    <x v="2"/>
    <s v="Android"/>
    <n v="278"/>
    <n v="4.8"/>
    <n v="1238"/>
    <n v="48"/>
    <n v="851"/>
    <n v="43"/>
    <x v="0"/>
    <s v="Mid Career"/>
    <s v="Female"/>
    <n v="3"/>
    <x v="1"/>
  </r>
  <r>
    <n v="166"/>
    <x v="2"/>
    <s v="Android"/>
    <n v="540"/>
    <n v="8.4"/>
    <n v="2993"/>
    <n v="98"/>
    <n v="1540"/>
    <n v="49"/>
    <x v="1"/>
    <s v="Mature Adults"/>
    <s v="Female"/>
    <n v="5"/>
    <x v="0"/>
  </r>
  <r>
    <n v="167"/>
    <x v="0"/>
    <s v="Android"/>
    <n v="595"/>
    <n v="11.3"/>
    <n v="2968"/>
    <n v="88"/>
    <n v="2366"/>
    <n v="30"/>
    <x v="3"/>
    <s v="Early Career"/>
    <s v="Male"/>
    <n v="5"/>
    <x v="0"/>
  </r>
  <r>
    <n v="168"/>
    <x v="0"/>
    <s v="Android"/>
    <n v="35"/>
    <n v="1.5"/>
    <n v="467"/>
    <n v="10"/>
    <n v="158"/>
    <n v="58"/>
    <x v="4"/>
    <s v="Pre-retirment"/>
    <s v="Male"/>
    <n v="1"/>
    <x v="2"/>
  </r>
  <r>
    <n v="169"/>
    <x v="0"/>
    <s v="Android"/>
    <n v="225"/>
    <n v="5.4"/>
    <n v="1370"/>
    <n v="44"/>
    <n v="791"/>
    <n v="55"/>
    <x v="4"/>
    <s v="Pre-retirment"/>
    <s v="Female"/>
    <n v="3"/>
    <x v="1"/>
  </r>
  <r>
    <n v="170"/>
    <x v="0"/>
    <s v="Android"/>
    <n v="587"/>
    <n v="11.8"/>
    <n v="2431"/>
    <n v="90"/>
    <n v="1894"/>
    <n v="47"/>
    <x v="1"/>
    <s v="Mature Adults"/>
    <s v="Male"/>
    <n v="5"/>
    <x v="0"/>
  </r>
  <r>
    <n v="171"/>
    <x v="2"/>
    <s v="Android"/>
    <n v="92"/>
    <n v="3.7"/>
    <n v="1124"/>
    <n v="27"/>
    <n v="524"/>
    <n v="44"/>
    <x v="0"/>
    <s v="Mid Career"/>
    <s v="Male"/>
    <n v="2"/>
    <x v="2"/>
  </r>
  <r>
    <n v="172"/>
    <x v="0"/>
    <s v="Android"/>
    <n v="46"/>
    <n v="1.1000000000000001"/>
    <n v="487"/>
    <n v="17"/>
    <n v="208"/>
    <n v="23"/>
    <x v="2"/>
    <s v="Young Adults"/>
    <s v="Male"/>
    <n v="1"/>
    <x v="2"/>
  </r>
  <r>
    <n v="173"/>
    <x v="1"/>
    <s v="Android"/>
    <n v="153"/>
    <n v="2.8"/>
    <n v="935"/>
    <n v="25"/>
    <n v="578"/>
    <n v="37"/>
    <x v="0"/>
    <s v="Mid Career"/>
    <s v="Female"/>
    <n v="2"/>
    <x v="2"/>
  </r>
  <r>
    <n v="174"/>
    <x v="3"/>
    <s v="iOS"/>
    <n v="368"/>
    <n v="6.6"/>
    <n v="1817"/>
    <n v="72"/>
    <n v="1406"/>
    <n v="27"/>
    <x v="3"/>
    <s v="Early Career"/>
    <s v="Female"/>
    <n v="4"/>
    <x v="0"/>
  </r>
  <r>
    <n v="175"/>
    <x v="2"/>
    <s v="Android"/>
    <n v="51"/>
    <n v="1.6"/>
    <n v="509"/>
    <n v="11"/>
    <n v="113"/>
    <n v="29"/>
    <x v="3"/>
    <s v="Early Career"/>
    <s v="Female"/>
    <n v="1"/>
    <x v="2"/>
  </r>
  <r>
    <n v="176"/>
    <x v="0"/>
    <s v="Android"/>
    <n v="279"/>
    <n v="5.2"/>
    <n v="1660"/>
    <n v="47"/>
    <n v="629"/>
    <n v="50"/>
    <x v="1"/>
    <s v="Mature Adults"/>
    <s v="Female"/>
    <n v="3"/>
    <x v="1"/>
  </r>
  <r>
    <n v="177"/>
    <x v="2"/>
    <s v="Android"/>
    <n v="255"/>
    <n v="5.4"/>
    <n v="1738"/>
    <n v="42"/>
    <n v="826"/>
    <n v="21"/>
    <x v="2"/>
    <s v="Young Adults"/>
    <s v="Male"/>
    <n v="3"/>
    <x v="1"/>
  </r>
  <r>
    <n v="178"/>
    <x v="4"/>
    <s v="Android"/>
    <n v="193"/>
    <n v="5.7"/>
    <n v="1471"/>
    <n v="51"/>
    <n v="972"/>
    <n v="31"/>
    <x v="3"/>
    <s v="Early Career"/>
    <s v="Female"/>
    <n v="3"/>
    <x v="1"/>
  </r>
  <r>
    <n v="179"/>
    <x v="2"/>
    <s v="Android"/>
    <n v="207"/>
    <n v="5.7"/>
    <n v="1582"/>
    <n v="52"/>
    <n v="692"/>
    <n v="38"/>
    <x v="0"/>
    <s v="Mid Career"/>
    <s v="Male"/>
    <n v="3"/>
    <x v="1"/>
  </r>
  <r>
    <n v="180"/>
    <x v="3"/>
    <s v="iOS"/>
    <n v="539"/>
    <n v="11.9"/>
    <n v="2853"/>
    <n v="83"/>
    <n v="2007"/>
    <n v="55"/>
    <x v="4"/>
    <s v="Pre-retirment"/>
    <s v="Male"/>
    <n v="5"/>
    <x v="0"/>
  </r>
  <r>
    <n v="181"/>
    <x v="1"/>
    <s v="Android"/>
    <n v="151"/>
    <n v="2.4"/>
    <n v="1124"/>
    <n v="38"/>
    <n v="571"/>
    <n v="33"/>
    <x v="3"/>
    <s v="Early Career"/>
    <s v="Male"/>
    <n v="2"/>
    <x v="2"/>
  </r>
  <r>
    <n v="182"/>
    <x v="0"/>
    <s v="Android"/>
    <n v="474"/>
    <n v="6.4"/>
    <n v="2109"/>
    <n v="68"/>
    <n v="1079"/>
    <n v="24"/>
    <x v="2"/>
    <s v="Young Adults"/>
    <s v="Male"/>
    <n v="4"/>
    <x v="0"/>
  </r>
  <r>
    <n v="183"/>
    <x v="3"/>
    <s v="iOS"/>
    <n v="544"/>
    <n v="9.1999999999999993"/>
    <n v="2936"/>
    <n v="83"/>
    <n v="2416"/>
    <n v="47"/>
    <x v="1"/>
    <s v="Mature Adults"/>
    <s v="Female"/>
    <n v="5"/>
    <x v="0"/>
  </r>
  <r>
    <n v="184"/>
    <x v="3"/>
    <s v="iOS"/>
    <n v="73"/>
    <n v="1.2"/>
    <n v="308"/>
    <n v="15"/>
    <n v="275"/>
    <n v="39"/>
    <x v="0"/>
    <s v="Mid Career"/>
    <s v="Female"/>
    <n v="1"/>
    <x v="2"/>
  </r>
  <r>
    <n v="185"/>
    <x v="2"/>
    <s v="Android"/>
    <n v="597"/>
    <n v="10.4"/>
    <n v="2984"/>
    <n v="91"/>
    <n v="1564"/>
    <n v="34"/>
    <x v="3"/>
    <s v="Early Career"/>
    <s v="Female"/>
    <n v="5"/>
    <x v="0"/>
  </r>
  <r>
    <n v="186"/>
    <x v="0"/>
    <s v="Android"/>
    <n v="498"/>
    <n v="10.7"/>
    <n v="2738"/>
    <n v="94"/>
    <n v="1995"/>
    <n v="42"/>
    <x v="0"/>
    <s v="Mid Career"/>
    <s v="Male"/>
    <n v="5"/>
    <x v="0"/>
  </r>
  <r>
    <n v="187"/>
    <x v="3"/>
    <s v="iOS"/>
    <n v="402"/>
    <n v="7.8"/>
    <n v="2014"/>
    <n v="79"/>
    <n v="1088"/>
    <n v="34"/>
    <x v="3"/>
    <s v="Early Career"/>
    <s v="Female"/>
    <n v="4"/>
    <x v="0"/>
  </r>
  <r>
    <n v="188"/>
    <x v="1"/>
    <s v="Android"/>
    <n v="75"/>
    <n v="1.1000000000000001"/>
    <n v="379"/>
    <n v="15"/>
    <n v="185"/>
    <n v="37"/>
    <x v="0"/>
    <s v="Mid Career"/>
    <s v="Male"/>
    <n v="1"/>
    <x v="2"/>
  </r>
  <r>
    <n v="189"/>
    <x v="3"/>
    <s v="iOS"/>
    <n v="130"/>
    <n v="2"/>
    <n v="602"/>
    <n v="21"/>
    <n v="589"/>
    <n v="30"/>
    <x v="3"/>
    <s v="Early Career"/>
    <s v="Female"/>
    <n v="2"/>
    <x v="2"/>
  </r>
  <r>
    <n v="190"/>
    <x v="4"/>
    <s v="Android"/>
    <n v="42"/>
    <n v="1.1000000000000001"/>
    <n v="402"/>
    <n v="11"/>
    <n v="265"/>
    <n v="32"/>
    <x v="3"/>
    <s v="Early Career"/>
    <s v="Female"/>
    <n v="1"/>
    <x v="2"/>
  </r>
  <r>
    <n v="191"/>
    <x v="3"/>
    <s v="iOS"/>
    <n v="134"/>
    <n v="2.2000000000000002"/>
    <n v="917"/>
    <n v="23"/>
    <n v="423"/>
    <n v="23"/>
    <x v="2"/>
    <s v="Young Adults"/>
    <s v="Male"/>
    <n v="2"/>
    <x v="2"/>
  </r>
  <r>
    <n v="192"/>
    <x v="0"/>
    <s v="Android"/>
    <n v="79"/>
    <n v="1.9"/>
    <n v="477"/>
    <n v="13"/>
    <n v="161"/>
    <n v="24"/>
    <x v="2"/>
    <s v="Young Adults"/>
    <s v="Male"/>
    <n v="1"/>
    <x v="2"/>
  </r>
  <r>
    <n v="193"/>
    <x v="3"/>
    <s v="iOS"/>
    <n v="432"/>
    <n v="7.2"/>
    <n v="1822"/>
    <n v="63"/>
    <n v="1127"/>
    <n v="59"/>
    <x v="4"/>
    <s v="Pre-retirment"/>
    <s v="Female"/>
    <n v="4"/>
    <x v="0"/>
  </r>
  <r>
    <n v="194"/>
    <x v="3"/>
    <s v="iOS"/>
    <n v="262"/>
    <n v="4.0999999999999996"/>
    <n v="1287"/>
    <n v="52"/>
    <n v="997"/>
    <n v="36"/>
    <x v="0"/>
    <s v="Mid Career"/>
    <s v="Male"/>
    <n v="3"/>
    <x v="1"/>
  </r>
  <r>
    <n v="195"/>
    <x v="4"/>
    <s v="Android"/>
    <n v="473"/>
    <n v="6.4"/>
    <n v="2109"/>
    <n v="79"/>
    <n v="1300"/>
    <n v="23"/>
    <x v="2"/>
    <s v="Young Adults"/>
    <s v="Female"/>
    <n v="4"/>
    <x v="0"/>
  </r>
  <r>
    <n v="196"/>
    <x v="0"/>
    <s v="Android"/>
    <n v="202"/>
    <n v="4.7"/>
    <n v="1512"/>
    <n v="49"/>
    <n v="659"/>
    <n v="45"/>
    <x v="1"/>
    <s v="Mature Adults"/>
    <s v="Female"/>
    <n v="3"/>
    <x v="1"/>
  </r>
  <r>
    <n v="197"/>
    <x v="1"/>
    <s v="Android"/>
    <n v="215"/>
    <n v="4.4000000000000004"/>
    <n v="1407"/>
    <n v="41"/>
    <n v="991"/>
    <n v="47"/>
    <x v="1"/>
    <s v="Mature Adults"/>
    <s v="Male"/>
    <n v="3"/>
    <x v="1"/>
  </r>
  <r>
    <n v="198"/>
    <x v="1"/>
    <s v="Android"/>
    <n v="151"/>
    <n v="3.7"/>
    <n v="1116"/>
    <n v="32"/>
    <n v="320"/>
    <n v="41"/>
    <x v="0"/>
    <s v="Mid Career"/>
    <s v="Female"/>
    <n v="2"/>
    <x v="2"/>
  </r>
  <r>
    <n v="199"/>
    <x v="1"/>
    <s v="Android"/>
    <n v="80"/>
    <n v="1.6"/>
    <n v="549"/>
    <n v="14"/>
    <n v="197"/>
    <n v="19"/>
    <x v="2"/>
    <s v="Young Adults"/>
    <s v="Male"/>
    <n v="1"/>
    <x v="2"/>
  </r>
  <r>
    <n v="200"/>
    <x v="2"/>
    <s v="Android"/>
    <n v="126"/>
    <n v="2.8"/>
    <n v="971"/>
    <n v="32"/>
    <n v="431"/>
    <n v="35"/>
    <x v="0"/>
    <s v="Mid Career"/>
    <s v="Female"/>
    <n v="2"/>
    <x v="2"/>
  </r>
  <r>
    <n v="201"/>
    <x v="4"/>
    <s v="Android"/>
    <n v="495"/>
    <n v="8.9"/>
    <n v="2920"/>
    <n v="84"/>
    <n v="2252"/>
    <n v="31"/>
    <x v="3"/>
    <s v="Early Career"/>
    <s v="Female"/>
    <n v="5"/>
    <x v="0"/>
  </r>
  <r>
    <n v="202"/>
    <x v="3"/>
    <s v="iOS"/>
    <n v="127"/>
    <n v="3.7"/>
    <n v="1153"/>
    <n v="35"/>
    <n v="314"/>
    <n v="37"/>
    <x v="0"/>
    <s v="Mid Career"/>
    <s v="Female"/>
    <n v="2"/>
    <x v="2"/>
  </r>
  <r>
    <n v="203"/>
    <x v="2"/>
    <s v="Android"/>
    <n v="88"/>
    <n v="1.3"/>
    <n v="327"/>
    <n v="11"/>
    <n v="262"/>
    <n v="22"/>
    <x v="2"/>
    <s v="Young Adults"/>
    <s v="Male"/>
    <n v="1"/>
    <x v="2"/>
  </r>
  <r>
    <n v="204"/>
    <x v="0"/>
    <s v="Android"/>
    <n v="69"/>
    <n v="1.6"/>
    <n v="463"/>
    <n v="16"/>
    <n v="146"/>
    <n v="27"/>
    <x v="3"/>
    <s v="Early Career"/>
    <s v="Male"/>
    <n v="1"/>
    <x v="2"/>
  </r>
  <r>
    <n v="205"/>
    <x v="1"/>
    <s v="Android"/>
    <n v="100"/>
    <n v="3.3"/>
    <n v="961"/>
    <n v="21"/>
    <n v="433"/>
    <n v="25"/>
    <x v="3"/>
    <s v="Early Career"/>
    <s v="Male"/>
    <n v="2"/>
    <x v="2"/>
  </r>
  <r>
    <n v="206"/>
    <x v="2"/>
    <s v="Android"/>
    <n v="301"/>
    <n v="6.5"/>
    <n v="2084"/>
    <n v="71"/>
    <n v="1421"/>
    <n v="29"/>
    <x v="3"/>
    <s v="Early Career"/>
    <s v="Male"/>
    <n v="4"/>
    <x v="0"/>
  </r>
  <r>
    <n v="207"/>
    <x v="0"/>
    <s v="Android"/>
    <n v="78"/>
    <n v="1.7"/>
    <n v="455"/>
    <n v="15"/>
    <n v="207"/>
    <n v="37"/>
    <x v="0"/>
    <s v="Mid Career"/>
    <s v="Female"/>
    <n v="1"/>
    <x v="2"/>
  </r>
  <r>
    <n v="208"/>
    <x v="0"/>
    <s v="Android"/>
    <n v="163"/>
    <n v="3.1"/>
    <n v="620"/>
    <n v="21"/>
    <n v="419"/>
    <n v="23"/>
    <x v="2"/>
    <s v="Young Adults"/>
    <s v="Male"/>
    <n v="2"/>
    <x v="2"/>
  </r>
  <r>
    <n v="209"/>
    <x v="1"/>
    <s v="Android"/>
    <n v="539"/>
    <n v="9.3000000000000007"/>
    <n v="2606"/>
    <n v="92"/>
    <n v="1990"/>
    <n v="41"/>
    <x v="0"/>
    <s v="Mid Career"/>
    <s v="Male"/>
    <n v="5"/>
    <x v="0"/>
  </r>
  <r>
    <n v="210"/>
    <x v="0"/>
    <s v="Android"/>
    <n v="278"/>
    <n v="4.5999999999999996"/>
    <n v="1385"/>
    <n v="47"/>
    <n v="823"/>
    <n v="40"/>
    <x v="0"/>
    <s v="Mid Career"/>
    <s v="Female"/>
    <n v="3"/>
    <x v="1"/>
  </r>
  <r>
    <n v="211"/>
    <x v="4"/>
    <s v="Android"/>
    <n v="451"/>
    <n v="6.1"/>
    <n v="2108"/>
    <n v="76"/>
    <n v="1434"/>
    <n v="25"/>
    <x v="3"/>
    <s v="Early Career"/>
    <s v="Female"/>
    <n v="4"/>
    <x v="0"/>
  </r>
  <r>
    <n v="212"/>
    <x v="4"/>
    <s v="Android"/>
    <n v="481"/>
    <n v="10.9"/>
    <n v="2752"/>
    <n v="86"/>
    <n v="2017"/>
    <n v="18"/>
    <x v="2"/>
    <s v="Young Adults"/>
    <s v="Male"/>
    <n v="5"/>
    <x v="0"/>
  </r>
  <r>
    <n v="213"/>
    <x v="4"/>
    <s v="Android"/>
    <n v="133"/>
    <n v="3.4"/>
    <n v="714"/>
    <n v="38"/>
    <n v="445"/>
    <n v="25"/>
    <x v="3"/>
    <s v="Early Career"/>
    <s v="Male"/>
    <n v="2"/>
    <x v="2"/>
  </r>
  <r>
    <n v="214"/>
    <x v="2"/>
    <s v="Android"/>
    <n v="41"/>
    <n v="1.1000000000000001"/>
    <n v="588"/>
    <n v="10"/>
    <n v="246"/>
    <n v="22"/>
    <x v="2"/>
    <s v="Young Adults"/>
    <s v="Male"/>
    <n v="1"/>
    <x v="2"/>
  </r>
  <r>
    <n v="215"/>
    <x v="3"/>
    <s v="iOS"/>
    <n v="152"/>
    <n v="3.3"/>
    <n v="1175"/>
    <n v="29"/>
    <n v="461"/>
    <n v="42"/>
    <x v="0"/>
    <s v="Mid Career"/>
    <s v="Female"/>
    <n v="2"/>
    <x v="2"/>
  </r>
  <r>
    <n v="216"/>
    <x v="1"/>
    <s v="Android"/>
    <n v="553"/>
    <n v="8.4"/>
    <n v="2559"/>
    <n v="89"/>
    <n v="2471"/>
    <n v="51"/>
    <x v="1"/>
    <s v="Mature Adults"/>
    <s v="Male"/>
    <n v="5"/>
    <x v="0"/>
  </r>
  <r>
    <n v="217"/>
    <x v="3"/>
    <s v="iOS"/>
    <n v="402"/>
    <n v="6.9"/>
    <n v="2282"/>
    <n v="78"/>
    <n v="1397"/>
    <n v="40"/>
    <x v="0"/>
    <s v="Mid Career"/>
    <s v="Male"/>
    <n v="4"/>
    <x v="0"/>
  </r>
  <r>
    <n v="218"/>
    <x v="1"/>
    <s v="Android"/>
    <n v="555"/>
    <n v="9.5"/>
    <n v="2855"/>
    <n v="95"/>
    <n v="1565"/>
    <n v="24"/>
    <x v="2"/>
    <s v="Young Adults"/>
    <s v="Male"/>
    <n v="5"/>
    <x v="0"/>
  </r>
  <r>
    <n v="219"/>
    <x v="3"/>
    <s v="iOS"/>
    <n v="499"/>
    <n v="9.6"/>
    <n v="2873"/>
    <n v="81"/>
    <n v="1805"/>
    <n v="52"/>
    <x v="1"/>
    <s v="Mature Adults"/>
    <s v="Female"/>
    <n v="5"/>
    <x v="0"/>
  </r>
  <r>
    <n v="220"/>
    <x v="2"/>
    <s v="Android"/>
    <n v="101"/>
    <n v="3.2"/>
    <n v="603"/>
    <n v="28"/>
    <n v="417"/>
    <n v="43"/>
    <x v="0"/>
    <s v="Mid Career"/>
    <s v="Male"/>
    <n v="2"/>
    <x v="2"/>
  </r>
  <r>
    <n v="221"/>
    <x v="1"/>
    <s v="Android"/>
    <n v="433"/>
    <n v="6.8"/>
    <n v="2093"/>
    <n v="75"/>
    <n v="1300"/>
    <n v="32"/>
    <x v="3"/>
    <s v="Early Career"/>
    <s v="Male"/>
    <n v="4"/>
    <x v="0"/>
  </r>
  <r>
    <n v="222"/>
    <x v="1"/>
    <s v="Android"/>
    <n v="133"/>
    <n v="2"/>
    <n v="1007"/>
    <n v="31"/>
    <n v="417"/>
    <n v="32"/>
    <x v="3"/>
    <s v="Early Career"/>
    <s v="Male"/>
    <n v="2"/>
    <x v="2"/>
  </r>
  <r>
    <n v="223"/>
    <x v="2"/>
    <s v="Android"/>
    <n v="351"/>
    <n v="6.1"/>
    <n v="1941"/>
    <n v="79"/>
    <n v="1290"/>
    <n v="21"/>
    <x v="2"/>
    <s v="Young Adults"/>
    <s v="Female"/>
    <n v="4"/>
    <x v="0"/>
  </r>
  <r>
    <n v="224"/>
    <x v="4"/>
    <s v="Android"/>
    <n v="532"/>
    <n v="10.7"/>
    <n v="2556"/>
    <n v="83"/>
    <n v="2148"/>
    <n v="53"/>
    <x v="1"/>
    <s v="Mature Adults"/>
    <s v="Female"/>
    <n v="5"/>
    <x v="0"/>
  </r>
  <r>
    <n v="225"/>
    <x v="1"/>
    <s v="Android"/>
    <n v="92"/>
    <n v="2.5"/>
    <n v="690"/>
    <n v="31"/>
    <n v="563"/>
    <n v="27"/>
    <x v="3"/>
    <s v="Early Career"/>
    <s v="Male"/>
    <n v="2"/>
    <x v="2"/>
  </r>
  <r>
    <n v="226"/>
    <x v="2"/>
    <s v="Android"/>
    <n v="511"/>
    <n v="10.8"/>
    <n v="2712"/>
    <n v="97"/>
    <n v="2438"/>
    <n v="59"/>
    <x v="4"/>
    <s v="Pre-retirment"/>
    <s v="Female"/>
    <n v="5"/>
    <x v="0"/>
  </r>
  <r>
    <n v="227"/>
    <x v="2"/>
    <s v="Android"/>
    <n v="384"/>
    <n v="7"/>
    <n v="2185"/>
    <n v="72"/>
    <n v="1376"/>
    <n v="59"/>
    <x v="4"/>
    <s v="Pre-retirment"/>
    <s v="Male"/>
    <n v="4"/>
    <x v="0"/>
  </r>
  <r>
    <n v="228"/>
    <x v="3"/>
    <s v="iOS"/>
    <n v="193"/>
    <n v="5.2"/>
    <n v="1318"/>
    <n v="49"/>
    <n v="626"/>
    <n v="32"/>
    <x v="3"/>
    <s v="Early Career"/>
    <s v="Female"/>
    <n v="3"/>
    <x v="1"/>
  </r>
  <r>
    <n v="229"/>
    <x v="4"/>
    <s v="Android"/>
    <n v="132"/>
    <n v="3.8"/>
    <n v="649"/>
    <n v="25"/>
    <n v="368"/>
    <n v="41"/>
    <x v="0"/>
    <s v="Mid Career"/>
    <s v="Male"/>
    <n v="2"/>
    <x v="2"/>
  </r>
  <r>
    <n v="230"/>
    <x v="4"/>
    <s v="Android"/>
    <n v="360"/>
    <n v="7.3"/>
    <n v="1946"/>
    <n v="79"/>
    <n v="1164"/>
    <n v="50"/>
    <x v="1"/>
    <s v="Mature Adults"/>
    <s v="Male"/>
    <n v="4"/>
    <x v="0"/>
  </r>
  <r>
    <n v="231"/>
    <x v="3"/>
    <s v="iOS"/>
    <n v="159"/>
    <n v="2.2999999999999998"/>
    <n v="1083"/>
    <n v="32"/>
    <n v="526"/>
    <n v="38"/>
    <x v="0"/>
    <s v="Mid Career"/>
    <s v="Male"/>
    <n v="2"/>
    <x v="2"/>
  </r>
  <r>
    <n v="232"/>
    <x v="3"/>
    <s v="iOS"/>
    <n v="495"/>
    <n v="8.9"/>
    <n v="2855"/>
    <n v="91"/>
    <n v="2150"/>
    <n v="31"/>
    <x v="3"/>
    <s v="Early Career"/>
    <s v="Male"/>
    <n v="5"/>
    <x v="0"/>
  </r>
  <r>
    <n v="233"/>
    <x v="2"/>
    <s v="Android"/>
    <n v="537"/>
    <n v="10"/>
    <n v="2720"/>
    <n v="83"/>
    <n v="1763"/>
    <n v="35"/>
    <x v="0"/>
    <s v="Mid Career"/>
    <s v="Male"/>
    <n v="5"/>
    <x v="0"/>
  </r>
  <r>
    <n v="234"/>
    <x v="1"/>
    <s v="Android"/>
    <n v="129"/>
    <n v="3.4"/>
    <n v="1059"/>
    <n v="27"/>
    <n v="580"/>
    <n v="36"/>
    <x v="0"/>
    <s v="Mid Career"/>
    <s v="Female"/>
    <n v="2"/>
    <x v="2"/>
  </r>
  <r>
    <n v="235"/>
    <x v="3"/>
    <s v="iOS"/>
    <n v="132"/>
    <n v="3.8"/>
    <n v="636"/>
    <n v="28"/>
    <n v="529"/>
    <n v="53"/>
    <x v="1"/>
    <s v="Mature Adults"/>
    <s v="Male"/>
    <n v="2"/>
    <x v="2"/>
  </r>
  <r>
    <n v="236"/>
    <x v="2"/>
    <s v="Android"/>
    <n v="37"/>
    <n v="1.4"/>
    <n v="369"/>
    <n v="18"/>
    <n v="295"/>
    <n v="19"/>
    <x v="2"/>
    <s v="Young Adults"/>
    <s v="Female"/>
    <n v="1"/>
    <x v="2"/>
  </r>
  <r>
    <n v="237"/>
    <x v="4"/>
    <s v="Android"/>
    <n v="524"/>
    <n v="8.9"/>
    <n v="2549"/>
    <n v="88"/>
    <n v="1730"/>
    <n v="20"/>
    <x v="2"/>
    <s v="Young Adults"/>
    <s v="Female"/>
    <n v="5"/>
    <x v="0"/>
  </r>
  <r>
    <n v="238"/>
    <x v="1"/>
    <s v="Android"/>
    <n v="425"/>
    <n v="6.9"/>
    <n v="2142"/>
    <n v="66"/>
    <n v="1130"/>
    <n v="19"/>
    <x v="2"/>
    <s v="Young Adults"/>
    <s v="Female"/>
    <n v="4"/>
    <x v="0"/>
  </r>
  <r>
    <n v="239"/>
    <x v="1"/>
    <s v="Android"/>
    <n v="64"/>
    <n v="1.7"/>
    <n v="585"/>
    <n v="13"/>
    <n v="107"/>
    <n v="53"/>
    <x v="1"/>
    <s v="Mature Adults"/>
    <s v="Male"/>
    <n v="1"/>
    <x v="2"/>
  </r>
  <r>
    <n v="240"/>
    <x v="3"/>
    <s v="iOS"/>
    <n v="573"/>
    <n v="10.8"/>
    <n v="2711"/>
    <n v="96"/>
    <n v="2118"/>
    <n v="33"/>
    <x v="3"/>
    <s v="Early Career"/>
    <s v="Female"/>
    <n v="5"/>
    <x v="0"/>
  </r>
  <r>
    <n v="241"/>
    <x v="0"/>
    <s v="Android"/>
    <n v="45"/>
    <n v="1.7"/>
    <n v="302"/>
    <n v="16"/>
    <n v="191"/>
    <n v="57"/>
    <x v="4"/>
    <s v="Pre-retirment"/>
    <s v="Female"/>
    <n v="1"/>
    <x v="2"/>
  </r>
  <r>
    <n v="242"/>
    <x v="2"/>
    <s v="Android"/>
    <n v="564"/>
    <n v="11.7"/>
    <n v="2764"/>
    <n v="81"/>
    <n v="2133"/>
    <n v="37"/>
    <x v="0"/>
    <s v="Mid Career"/>
    <s v="Female"/>
    <n v="5"/>
    <x v="0"/>
  </r>
  <r>
    <n v="243"/>
    <x v="1"/>
    <s v="Android"/>
    <n v="162"/>
    <n v="3.5"/>
    <n v="761"/>
    <n v="36"/>
    <n v="338"/>
    <n v="51"/>
    <x v="1"/>
    <s v="Mature Adults"/>
    <s v="Male"/>
    <n v="2"/>
    <x v="2"/>
  </r>
  <r>
    <n v="244"/>
    <x v="4"/>
    <s v="Android"/>
    <n v="451"/>
    <n v="6.5"/>
    <n v="2378"/>
    <n v="69"/>
    <n v="1341"/>
    <n v="44"/>
    <x v="0"/>
    <s v="Mid Career"/>
    <s v="Male"/>
    <n v="4"/>
    <x v="0"/>
  </r>
  <r>
    <n v="245"/>
    <x v="1"/>
    <s v="Android"/>
    <n v="30"/>
    <n v="1.3"/>
    <n v="479"/>
    <n v="16"/>
    <n v="253"/>
    <n v="35"/>
    <x v="0"/>
    <s v="Mid Career"/>
    <s v="Male"/>
    <n v="1"/>
    <x v="2"/>
  </r>
  <r>
    <n v="246"/>
    <x v="4"/>
    <s v="Android"/>
    <n v="202"/>
    <n v="5"/>
    <n v="1542"/>
    <n v="45"/>
    <n v="844"/>
    <n v="29"/>
    <x v="3"/>
    <s v="Early Career"/>
    <s v="Male"/>
    <n v="3"/>
    <x v="1"/>
  </r>
  <r>
    <n v="247"/>
    <x v="0"/>
    <s v="Android"/>
    <n v="71"/>
    <n v="1.5"/>
    <n v="590"/>
    <n v="17"/>
    <n v="257"/>
    <n v="33"/>
    <x v="3"/>
    <s v="Early Career"/>
    <s v="Male"/>
    <n v="1"/>
    <x v="2"/>
  </r>
  <r>
    <n v="248"/>
    <x v="0"/>
    <s v="Android"/>
    <n v="314"/>
    <n v="6.2"/>
    <n v="2205"/>
    <n v="63"/>
    <n v="1066"/>
    <n v="19"/>
    <x v="2"/>
    <s v="Young Adults"/>
    <s v="Male"/>
    <n v="4"/>
    <x v="0"/>
  </r>
  <r>
    <n v="249"/>
    <x v="2"/>
    <s v="Android"/>
    <n v="168"/>
    <n v="4"/>
    <n v="866"/>
    <n v="22"/>
    <n v="581"/>
    <n v="50"/>
    <x v="1"/>
    <s v="Mature Adults"/>
    <s v="Female"/>
    <n v="2"/>
    <x v="2"/>
  </r>
  <r>
    <n v="250"/>
    <x v="0"/>
    <s v="Android"/>
    <n v="75"/>
    <n v="1.9"/>
    <n v="537"/>
    <n v="13"/>
    <n v="230"/>
    <n v="58"/>
    <x v="4"/>
    <s v="Pre-retirment"/>
    <s v="Female"/>
    <n v="1"/>
    <x v="2"/>
  </r>
  <r>
    <n v="251"/>
    <x v="1"/>
    <s v="Android"/>
    <n v="42"/>
    <n v="1.4"/>
    <n v="324"/>
    <n v="13"/>
    <n v="272"/>
    <n v="29"/>
    <x v="3"/>
    <s v="Early Career"/>
    <s v="Female"/>
    <n v="1"/>
    <x v="2"/>
  </r>
  <r>
    <n v="252"/>
    <x v="1"/>
    <s v="Android"/>
    <n v="441"/>
    <n v="7.9"/>
    <n v="2332"/>
    <n v="78"/>
    <n v="1477"/>
    <n v="23"/>
    <x v="2"/>
    <s v="Young Adults"/>
    <s v="Female"/>
    <n v="4"/>
    <x v="0"/>
  </r>
  <r>
    <n v="253"/>
    <x v="0"/>
    <s v="Android"/>
    <n v="523"/>
    <n v="10.5"/>
    <n v="2460"/>
    <n v="99"/>
    <n v="1787"/>
    <n v="22"/>
    <x v="2"/>
    <s v="Young Adults"/>
    <s v="Male"/>
    <n v="5"/>
    <x v="0"/>
  </r>
  <r>
    <n v="254"/>
    <x v="2"/>
    <s v="Android"/>
    <n v="100"/>
    <n v="2.4"/>
    <n v="982"/>
    <n v="31"/>
    <n v="478"/>
    <n v="48"/>
    <x v="1"/>
    <s v="Mature Adults"/>
    <s v="Female"/>
    <n v="2"/>
    <x v="2"/>
  </r>
  <r>
    <n v="255"/>
    <x v="1"/>
    <s v="Android"/>
    <n v="52"/>
    <n v="1.2"/>
    <n v="398"/>
    <n v="14"/>
    <n v="172"/>
    <n v="24"/>
    <x v="2"/>
    <s v="Young Adults"/>
    <s v="Female"/>
    <n v="1"/>
    <x v="2"/>
  </r>
  <r>
    <n v="256"/>
    <x v="1"/>
    <s v="Android"/>
    <n v="397"/>
    <n v="7"/>
    <n v="2352"/>
    <n v="77"/>
    <n v="1101"/>
    <n v="46"/>
    <x v="1"/>
    <s v="Mature Adults"/>
    <s v="Female"/>
    <n v="4"/>
    <x v="0"/>
  </r>
  <r>
    <n v="257"/>
    <x v="2"/>
    <s v="Android"/>
    <n v="424"/>
    <n v="7.7"/>
    <n v="1863"/>
    <n v="65"/>
    <n v="1116"/>
    <n v="52"/>
    <x v="1"/>
    <s v="Mature Adults"/>
    <s v="Male"/>
    <n v="4"/>
    <x v="0"/>
  </r>
  <r>
    <n v="258"/>
    <x v="2"/>
    <s v="Android"/>
    <n v="272"/>
    <n v="5"/>
    <n v="1655"/>
    <n v="45"/>
    <n v="686"/>
    <n v="19"/>
    <x v="2"/>
    <s v="Young Adults"/>
    <s v="Female"/>
    <n v="3"/>
    <x v="1"/>
  </r>
  <r>
    <n v="259"/>
    <x v="2"/>
    <s v="Android"/>
    <n v="201"/>
    <n v="4"/>
    <n v="1791"/>
    <n v="50"/>
    <n v="914"/>
    <n v="18"/>
    <x v="2"/>
    <s v="Young Adults"/>
    <s v="Male"/>
    <n v="3"/>
    <x v="1"/>
  </r>
  <r>
    <n v="260"/>
    <x v="2"/>
    <s v="Android"/>
    <n v="570"/>
    <n v="9"/>
    <n v="2613"/>
    <n v="98"/>
    <n v="2497"/>
    <n v="49"/>
    <x v="1"/>
    <s v="Mature Adults"/>
    <s v="Female"/>
    <n v="5"/>
    <x v="0"/>
  </r>
  <r>
    <n v="261"/>
    <x v="2"/>
    <s v="Android"/>
    <n v="64"/>
    <n v="1.3"/>
    <n v="490"/>
    <n v="14"/>
    <n v="151"/>
    <n v="43"/>
    <x v="0"/>
    <s v="Mid Career"/>
    <s v="Female"/>
    <n v="1"/>
    <x v="2"/>
  </r>
  <r>
    <n v="262"/>
    <x v="3"/>
    <s v="iOS"/>
    <n v="334"/>
    <n v="6.6"/>
    <n v="2394"/>
    <n v="68"/>
    <n v="1227"/>
    <n v="46"/>
    <x v="1"/>
    <s v="Mature Adults"/>
    <s v="Female"/>
    <n v="4"/>
    <x v="0"/>
  </r>
  <r>
    <n v="263"/>
    <x v="3"/>
    <s v="iOS"/>
    <n v="518"/>
    <n v="9.6"/>
    <n v="2954"/>
    <n v="93"/>
    <n v="2125"/>
    <n v="34"/>
    <x v="3"/>
    <s v="Early Career"/>
    <s v="Female"/>
    <n v="5"/>
    <x v="0"/>
  </r>
  <r>
    <n v="264"/>
    <x v="4"/>
    <s v="Android"/>
    <n v="70"/>
    <n v="1.7"/>
    <n v="359"/>
    <n v="10"/>
    <n v="109"/>
    <n v="57"/>
    <x v="4"/>
    <s v="Pre-retirment"/>
    <s v="Male"/>
    <n v="1"/>
    <x v="2"/>
  </r>
  <r>
    <n v="265"/>
    <x v="3"/>
    <s v="iOS"/>
    <n v="334"/>
    <n v="6.8"/>
    <n v="2000"/>
    <n v="77"/>
    <n v="1079"/>
    <n v="40"/>
    <x v="0"/>
    <s v="Mid Career"/>
    <s v="Female"/>
    <n v="4"/>
    <x v="0"/>
  </r>
  <r>
    <n v="266"/>
    <x v="2"/>
    <s v="Android"/>
    <n v="563"/>
    <n v="8.4"/>
    <n v="2849"/>
    <n v="85"/>
    <n v="1508"/>
    <n v="25"/>
    <x v="3"/>
    <s v="Early Career"/>
    <s v="Male"/>
    <n v="5"/>
    <x v="0"/>
  </r>
  <r>
    <n v="267"/>
    <x v="3"/>
    <s v="iOS"/>
    <n v="181"/>
    <n v="4.0999999999999996"/>
    <n v="1608"/>
    <n v="43"/>
    <n v="752"/>
    <n v="22"/>
    <x v="2"/>
    <s v="Young Adults"/>
    <s v="Female"/>
    <n v="3"/>
    <x v="1"/>
  </r>
  <r>
    <n v="268"/>
    <x v="1"/>
    <s v="Android"/>
    <n v="584"/>
    <n v="9.4"/>
    <n v="2766"/>
    <n v="84"/>
    <n v="2151"/>
    <n v="32"/>
    <x v="3"/>
    <s v="Early Career"/>
    <s v="Male"/>
    <n v="5"/>
    <x v="0"/>
  </r>
  <r>
    <n v="269"/>
    <x v="4"/>
    <s v="Android"/>
    <n v="208"/>
    <n v="4.7"/>
    <n v="1642"/>
    <n v="45"/>
    <n v="861"/>
    <n v="55"/>
    <x v="4"/>
    <s v="Pre-retirment"/>
    <s v="Male"/>
    <n v="3"/>
    <x v="1"/>
  </r>
  <r>
    <n v="270"/>
    <x v="4"/>
    <s v="Android"/>
    <n v="381"/>
    <n v="6.6"/>
    <n v="2160"/>
    <n v="69"/>
    <n v="1450"/>
    <n v="20"/>
    <x v="2"/>
    <s v="Young Adults"/>
    <s v="Male"/>
    <n v="4"/>
    <x v="0"/>
  </r>
  <r>
    <n v="271"/>
    <x v="2"/>
    <s v="Android"/>
    <n v="426"/>
    <n v="6.5"/>
    <n v="1969"/>
    <n v="78"/>
    <n v="1266"/>
    <n v="53"/>
    <x v="1"/>
    <s v="Mature Adults"/>
    <s v="Female"/>
    <n v="4"/>
    <x v="0"/>
  </r>
  <r>
    <n v="272"/>
    <x v="1"/>
    <s v="Android"/>
    <n v="284"/>
    <n v="4.2"/>
    <n v="1360"/>
    <n v="56"/>
    <n v="888"/>
    <n v="51"/>
    <x v="1"/>
    <s v="Mature Adults"/>
    <s v="Male"/>
    <n v="3"/>
    <x v="1"/>
  </r>
  <r>
    <n v="273"/>
    <x v="0"/>
    <s v="Android"/>
    <n v="105"/>
    <n v="2.2000000000000002"/>
    <n v="1002"/>
    <n v="29"/>
    <n v="453"/>
    <n v="31"/>
    <x v="3"/>
    <s v="Early Career"/>
    <s v="Female"/>
    <n v="2"/>
    <x v="2"/>
  </r>
  <r>
    <n v="274"/>
    <x v="0"/>
    <s v="Android"/>
    <n v="179"/>
    <n v="2.2999999999999998"/>
    <n v="1014"/>
    <n v="32"/>
    <n v="588"/>
    <n v="38"/>
    <x v="0"/>
    <s v="Mid Career"/>
    <s v="Male"/>
    <n v="2"/>
    <x v="2"/>
  </r>
  <r>
    <n v="275"/>
    <x v="3"/>
    <s v="iOS"/>
    <n v="122"/>
    <n v="2.6"/>
    <n v="639"/>
    <n v="37"/>
    <n v="568"/>
    <n v="35"/>
    <x v="0"/>
    <s v="Mid Career"/>
    <s v="Male"/>
    <n v="2"/>
    <x v="2"/>
  </r>
  <r>
    <n v="276"/>
    <x v="1"/>
    <s v="Android"/>
    <n v="501"/>
    <n v="11.9"/>
    <n v="2702"/>
    <n v="88"/>
    <n v="1738"/>
    <n v="49"/>
    <x v="1"/>
    <s v="Mature Adults"/>
    <s v="Male"/>
    <n v="5"/>
    <x v="0"/>
  </r>
  <r>
    <n v="277"/>
    <x v="2"/>
    <s v="Android"/>
    <n v="269"/>
    <n v="5.9"/>
    <n v="1666"/>
    <n v="42"/>
    <n v="629"/>
    <n v="32"/>
    <x v="3"/>
    <s v="Early Career"/>
    <s v="Female"/>
    <n v="3"/>
    <x v="1"/>
  </r>
  <r>
    <n v="278"/>
    <x v="0"/>
    <s v="Android"/>
    <n v="230"/>
    <n v="4.4000000000000004"/>
    <n v="1607"/>
    <n v="52"/>
    <n v="878"/>
    <n v="54"/>
    <x v="1"/>
    <s v="Mature Adults"/>
    <s v="Male"/>
    <n v="3"/>
    <x v="1"/>
  </r>
  <r>
    <n v="279"/>
    <x v="2"/>
    <s v="Android"/>
    <n v="85"/>
    <n v="1.6"/>
    <n v="417"/>
    <n v="12"/>
    <n v="122"/>
    <n v="47"/>
    <x v="1"/>
    <s v="Mature Adults"/>
    <s v="Male"/>
    <n v="1"/>
    <x v="2"/>
  </r>
  <r>
    <n v="280"/>
    <x v="4"/>
    <s v="Android"/>
    <n v="411"/>
    <n v="7.8"/>
    <n v="2029"/>
    <n v="75"/>
    <n v="1136"/>
    <n v="33"/>
    <x v="3"/>
    <s v="Early Career"/>
    <s v="Female"/>
    <n v="4"/>
    <x v="0"/>
  </r>
  <r>
    <n v="281"/>
    <x v="4"/>
    <s v="Android"/>
    <n v="73"/>
    <n v="1.7"/>
    <n v="403"/>
    <n v="12"/>
    <n v="163"/>
    <n v="51"/>
    <x v="1"/>
    <s v="Mature Adults"/>
    <s v="Male"/>
    <n v="1"/>
    <x v="2"/>
  </r>
  <r>
    <n v="282"/>
    <x v="2"/>
    <s v="Android"/>
    <n v="39"/>
    <n v="1.7"/>
    <n v="530"/>
    <n v="11"/>
    <n v="268"/>
    <n v="26"/>
    <x v="3"/>
    <s v="Early Career"/>
    <s v="Female"/>
    <n v="1"/>
    <x v="2"/>
  </r>
  <r>
    <n v="283"/>
    <x v="3"/>
    <s v="iOS"/>
    <n v="386"/>
    <n v="7.7"/>
    <n v="2114"/>
    <n v="72"/>
    <n v="1209"/>
    <n v="51"/>
    <x v="1"/>
    <s v="Mature Adults"/>
    <s v="Male"/>
    <n v="4"/>
    <x v="0"/>
  </r>
  <r>
    <n v="284"/>
    <x v="0"/>
    <s v="Android"/>
    <n v="49"/>
    <n v="1.3"/>
    <n v="542"/>
    <n v="16"/>
    <n v="169"/>
    <n v="54"/>
    <x v="1"/>
    <s v="Mature Adults"/>
    <s v="Female"/>
    <n v="1"/>
    <x v="2"/>
  </r>
  <r>
    <n v="285"/>
    <x v="0"/>
    <s v="Android"/>
    <n v="411"/>
    <n v="6.9"/>
    <n v="1820"/>
    <n v="70"/>
    <n v="1024"/>
    <n v="43"/>
    <x v="0"/>
    <s v="Mid Career"/>
    <s v="Male"/>
    <n v="4"/>
    <x v="0"/>
  </r>
  <r>
    <n v="286"/>
    <x v="1"/>
    <s v="Android"/>
    <n v="534"/>
    <n v="10.8"/>
    <n v="2805"/>
    <n v="90"/>
    <n v="1538"/>
    <n v="37"/>
    <x v="0"/>
    <s v="Mid Career"/>
    <s v="Male"/>
    <n v="5"/>
    <x v="0"/>
  </r>
  <r>
    <n v="287"/>
    <x v="4"/>
    <s v="Android"/>
    <n v="314"/>
    <n v="7.4"/>
    <n v="2136"/>
    <n v="64"/>
    <n v="1376"/>
    <n v="47"/>
    <x v="1"/>
    <s v="Mature Adults"/>
    <s v="Female"/>
    <n v="4"/>
    <x v="0"/>
  </r>
  <r>
    <n v="288"/>
    <x v="2"/>
    <s v="Android"/>
    <n v="211"/>
    <n v="4"/>
    <n v="1519"/>
    <n v="54"/>
    <n v="811"/>
    <n v="29"/>
    <x v="3"/>
    <s v="Early Career"/>
    <s v="Female"/>
    <n v="3"/>
    <x v="1"/>
  </r>
  <r>
    <n v="289"/>
    <x v="1"/>
    <s v="Android"/>
    <n v="121"/>
    <n v="3.7"/>
    <n v="619"/>
    <n v="36"/>
    <n v="473"/>
    <n v="47"/>
    <x v="1"/>
    <s v="Mature Adults"/>
    <s v="Male"/>
    <n v="2"/>
    <x v="2"/>
  </r>
  <r>
    <n v="290"/>
    <x v="0"/>
    <s v="Android"/>
    <n v="84"/>
    <n v="1.2"/>
    <n v="415"/>
    <n v="10"/>
    <n v="146"/>
    <n v="50"/>
    <x v="1"/>
    <s v="Mature Adults"/>
    <s v="Male"/>
    <n v="1"/>
    <x v="2"/>
  </r>
  <r>
    <n v="291"/>
    <x v="1"/>
    <s v="Android"/>
    <n v="448"/>
    <n v="7.6"/>
    <n v="2199"/>
    <n v="66"/>
    <n v="1047"/>
    <n v="28"/>
    <x v="3"/>
    <s v="Early Career"/>
    <s v="Male"/>
    <n v="4"/>
    <x v="0"/>
  </r>
  <r>
    <n v="292"/>
    <x v="0"/>
    <s v="Android"/>
    <n v="55"/>
    <n v="1.6"/>
    <n v="360"/>
    <n v="19"/>
    <n v="149"/>
    <n v="30"/>
    <x v="3"/>
    <s v="Early Career"/>
    <s v="Male"/>
    <n v="1"/>
    <x v="2"/>
  </r>
  <r>
    <n v="293"/>
    <x v="0"/>
    <s v="Android"/>
    <n v="59"/>
    <n v="1.8"/>
    <n v="497"/>
    <n v="10"/>
    <n v="208"/>
    <n v="36"/>
    <x v="0"/>
    <s v="Mid Career"/>
    <s v="Female"/>
    <n v="1"/>
    <x v="2"/>
  </r>
  <r>
    <n v="294"/>
    <x v="2"/>
    <s v="Android"/>
    <n v="226"/>
    <n v="4.5"/>
    <n v="1781"/>
    <n v="45"/>
    <n v="649"/>
    <n v="27"/>
    <x v="3"/>
    <s v="Early Career"/>
    <s v="Female"/>
    <n v="3"/>
    <x v="1"/>
  </r>
  <r>
    <n v="295"/>
    <x v="4"/>
    <s v="Android"/>
    <n v="580"/>
    <n v="8.5"/>
    <n v="2660"/>
    <n v="87"/>
    <n v="1795"/>
    <n v="52"/>
    <x v="1"/>
    <s v="Mature Adults"/>
    <s v="Male"/>
    <n v="5"/>
    <x v="0"/>
  </r>
  <r>
    <n v="296"/>
    <x v="1"/>
    <s v="Android"/>
    <n v="65"/>
    <n v="1.8"/>
    <n v="481"/>
    <n v="18"/>
    <n v="130"/>
    <n v="41"/>
    <x v="0"/>
    <s v="Mid Career"/>
    <s v="Male"/>
    <n v="1"/>
    <x v="2"/>
  </r>
  <r>
    <n v="297"/>
    <x v="1"/>
    <s v="Android"/>
    <n v="458"/>
    <n v="6.6"/>
    <n v="2214"/>
    <n v="67"/>
    <n v="1163"/>
    <n v="31"/>
    <x v="3"/>
    <s v="Early Career"/>
    <s v="Female"/>
    <n v="4"/>
    <x v="0"/>
  </r>
  <r>
    <n v="298"/>
    <x v="3"/>
    <s v="iOS"/>
    <n v="170"/>
    <n v="2.7"/>
    <n v="805"/>
    <n v="26"/>
    <n v="344"/>
    <n v="53"/>
    <x v="1"/>
    <s v="Mature Adults"/>
    <s v="Female"/>
    <n v="2"/>
    <x v="2"/>
  </r>
  <r>
    <n v="299"/>
    <x v="3"/>
    <s v="iOS"/>
    <n v="264"/>
    <n v="5.2"/>
    <n v="1641"/>
    <n v="44"/>
    <n v="778"/>
    <n v="44"/>
    <x v="0"/>
    <s v="Mid Career"/>
    <s v="Male"/>
    <n v="3"/>
    <x v="1"/>
  </r>
  <r>
    <n v="300"/>
    <x v="2"/>
    <s v="Android"/>
    <n v="122"/>
    <n v="3.3"/>
    <n v="748"/>
    <n v="35"/>
    <n v="499"/>
    <n v="59"/>
    <x v="4"/>
    <s v="Pre-retirment"/>
    <s v="Female"/>
    <n v="2"/>
    <x v="2"/>
  </r>
  <r>
    <n v="301"/>
    <x v="2"/>
    <s v="Android"/>
    <n v="420"/>
    <n v="6.5"/>
    <n v="2113"/>
    <n v="65"/>
    <n v="1314"/>
    <n v="35"/>
    <x v="0"/>
    <s v="Mid Career"/>
    <s v="Male"/>
    <n v="4"/>
    <x v="0"/>
  </r>
  <r>
    <n v="302"/>
    <x v="3"/>
    <s v="iOS"/>
    <n v="267"/>
    <n v="4.4000000000000004"/>
    <n v="1505"/>
    <n v="59"/>
    <n v="971"/>
    <n v="38"/>
    <x v="0"/>
    <s v="Mid Career"/>
    <s v="Female"/>
    <n v="3"/>
    <x v="1"/>
  </r>
  <r>
    <n v="303"/>
    <x v="3"/>
    <s v="iOS"/>
    <n v="469"/>
    <n v="6"/>
    <n v="2290"/>
    <n v="67"/>
    <n v="1086"/>
    <n v="34"/>
    <x v="3"/>
    <s v="Early Career"/>
    <s v="Female"/>
    <n v="4"/>
    <x v="0"/>
  </r>
  <r>
    <n v="304"/>
    <x v="3"/>
    <s v="iOS"/>
    <n v="541"/>
    <n v="11.4"/>
    <n v="2443"/>
    <n v="89"/>
    <n v="1923"/>
    <n v="34"/>
    <x v="3"/>
    <s v="Early Career"/>
    <s v="Female"/>
    <n v="5"/>
    <x v="0"/>
  </r>
  <r>
    <n v="305"/>
    <x v="3"/>
    <s v="iOS"/>
    <n v="155"/>
    <n v="2.9"/>
    <n v="1117"/>
    <n v="22"/>
    <n v="322"/>
    <n v="19"/>
    <x v="2"/>
    <s v="Young Adults"/>
    <s v="Female"/>
    <n v="2"/>
    <x v="2"/>
  </r>
  <r>
    <n v="306"/>
    <x v="1"/>
    <s v="Android"/>
    <n v="106"/>
    <n v="2.8"/>
    <n v="686"/>
    <n v="32"/>
    <n v="594"/>
    <n v="27"/>
    <x v="3"/>
    <s v="Early Career"/>
    <s v="Male"/>
    <n v="2"/>
    <x v="2"/>
  </r>
  <r>
    <n v="307"/>
    <x v="1"/>
    <s v="Android"/>
    <n v="243"/>
    <n v="5"/>
    <n v="1232"/>
    <n v="47"/>
    <n v="877"/>
    <n v="43"/>
    <x v="0"/>
    <s v="Mid Career"/>
    <s v="Male"/>
    <n v="3"/>
    <x v="1"/>
  </r>
  <r>
    <n v="308"/>
    <x v="1"/>
    <s v="Android"/>
    <n v="410"/>
    <n v="7.5"/>
    <n v="2176"/>
    <n v="68"/>
    <n v="1213"/>
    <n v="45"/>
    <x v="1"/>
    <s v="Mature Adults"/>
    <s v="Female"/>
    <n v="4"/>
    <x v="0"/>
  </r>
  <r>
    <n v="309"/>
    <x v="3"/>
    <s v="iOS"/>
    <n v="285"/>
    <n v="5.0999999999999996"/>
    <n v="1226"/>
    <n v="57"/>
    <n v="666"/>
    <n v="20"/>
    <x v="2"/>
    <s v="Young Adults"/>
    <s v="Female"/>
    <n v="3"/>
    <x v="1"/>
  </r>
  <r>
    <n v="310"/>
    <x v="1"/>
    <s v="Android"/>
    <n v="397"/>
    <n v="6.8"/>
    <n v="2027"/>
    <n v="66"/>
    <n v="1167"/>
    <n v="40"/>
    <x v="0"/>
    <s v="Mid Career"/>
    <s v="Male"/>
    <n v="4"/>
    <x v="0"/>
  </r>
  <r>
    <n v="311"/>
    <x v="4"/>
    <s v="Android"/>
    <n v="230"/>
    <n v="4.2"/>
    <n v="1507"/>
    <n v="51"/>
    <n v="868"/>
    <n v="25"/>
    <x v="3"/>
    <s v="Early Career"/>
    <s v="Female"/>
    <n v="3"/>
    <x v="1"/>
  </r>
  <r>
    <n v="312"/>
    <x v="3"/>
    <s v="iOS"/>
    <n v="341"/>
    <n v="7.2"/>
    <n v="2397"/>
    <n v="68"/>
    <n v="1055"/>
    <n v="32"/>
    <x v="3"/>
    <s v="Early Career"/>
    <s v="Female"/>
    <n v="4"/>
    <x v="0"/>
  </r>
  <r>
    <n v="313"/>
    <x v="0"/>
    <s v="Android"/>
    <n v="132"/>
    <n v="2.9"/>
    <n v="1054"/>
    <n v="32"/>
    <n v="563"/>
    <n v="20"/>
    <x v="2"/>
    <s v="Young Adults"/>
    <s v="Male"/>
    <n v="2"/>
    <x v="2"/>
  </r>
  <r>
    <n v="314"/>
    <x v="2"/>
    <s v="Android"/>
    <n v="130"/>
    <n v="3"/>
    <n v="820"/>
    <n v="21"/>
    <n v="308"/>
    <n v="49"/>
    <x v="1"/>
    <s v="Mature Adults"/>
    <s v="Female"/>
    <n v="2"/>
    <x v="2"/>
  </r>
  <r>
    <n v="315"/>
    <x v="3"/>
    <s v="iOS"/>
    <n v="281"/>
    <n v="4.9000000000000004"/>
    <n v="1566"/>
    <n v="59"/>
    <n v="632"/>
    <n v="29"/>
    <x v="3"/>
    <s v="Early Career"/>
    <s v="Male"/>
    <n v="3"/>
    <x v="1"/>
  </r>
  <r>
    <n v="316"/>
    <x v="1"/>
    <s v="Android"/>
    <n v="74"/>
    <n v="2"/>
    <n v="320"/>
    <n v="11"/>
    <n v="103"/>
    <n v="55"/>
    <x v="4"/>
    <s v="Pre-retirment"/>
    <s v="Female"/>
    <n v="1"/>
    <x v="2"/>
  </r>
  <r>
    <n v="317"/>
    <x v="1"/>
    <s v="Android"/>
    <n v="299"/>
    <n v="4.3"/>
    <n v="1737"/>
    <n v="43"/>
    <n v="953"/>
    <n v="42"/>
    <x v="0"/>
    <s v="Mid Career"/>
    <s v="Female"/>
    <n v="3"/>
    <x v="1"/>
  </r>
  <r>
    <n v="318"/>
    <x v="0"/>
    <s v="Android"/>
    <n v="116"/>
    <n v="2.2000000000000002"/>
    <n v="827"/>
    <n v="29"/>
    <n v="434"/>
    <n v="28"/>
    <x v="3"/>
    <s v="Early Career"/>
    <s v="Female"/>
    <n v="2"/>
    <x v="2"/>
  </r>
  <r>
    <n v="319"/>
    <x v="1"/>
    <s v="Android"/>
    <n v="408"/>
    <n v="6.6"/>
    <n v="2026"/>
    <n v="63"/>
    <n v="1076"/>
    <n v="47"/>
    <x v="1"/>
    <s v="Mature Adults"/>
    <s v="Female"/>
    <n v="4"/>
    <x v="0"/>
  </r>
  <r>
    <n v="320"/>
    <x v="0"/>
    <s v="Android"/>
    <n v="508"/>
    <n v="11.3"/>
    <n v="2590"/>
    <n v="81"/>
    <n v="2481"/>
    <n v="51"/>
    <x v="1"/>
    <s v="Mature Adults"/>
    <s v="Male"/>
    <n v="5"/>
    <x v="0"/>
  </r>
  <r>
    <n v="321"/>
    <x v="3"/>
    <s v="iOS"/>
    <n v="227"/>
    <n v="4.4000000000000004"/>
    <n v="1275"/>
    <n v="56"/>
    <n v="984"/>
    <n v="22"/>
    <x v="2"/>
    <s v="Young Adults"/>
    <s v="Female"/>
    <n v="3"/>
    <x v="1"/>
  </r>
  <r>
    <n v="322"/>
    <x v="0"/>
    <s v="Android"/>
    <n v="274"/>
    <n v="6"/>
    <n v="1489"/>
    <n v="56"/>
    <n v="666"/>
    <n v="57"/>
    <x v="4"/>
    <s v="Pre-retirment"/>
    <s v="Female"/>
    <n v="3"/>
    <x v="1"/>
  </r>
  <r>
    <n v="323"/>
    <x v="0"/>
    <s v="Android"/>
    <n v="347"/>
    <n v="6.3"/>
    <n v="2001"/>
    <n v="61"/>
    <n v="1456"/>
    <n v="21"/>
    <x v="2"/>
    <s v="Young Adults"/>
    <s v="Female"/>
    <n v="4"/>
    <x v="0"/>
  </r>
  <r>
    <n v="324"/>
    <x v="2"/>
    <s v="Android"/>
    <n v="76"/>
    <n v="1.3"/>
    <n v="490"/>
    <n v="14"/>
    <n v="156"/>
    <n v="31"/>
    <x v="3"/>
    <s v="Early Career"/>
    <s v="Female"/>
    <n v="1"/>
    <x v="2"/>
  </r>
  <r>
    <n v="325"/>
    <x v="3"/>
    <s v="iOS"/>
    <n v="445"/>
    <n v="7.5"/>
    <n v="2007"/>
    <n v="78"/>
    <n v="1115"/>
    <n v="23"/>
    <x v="2"/>
    <s v="Young Adults"/>
    <s v="Male"/>
    <n v="4"/>
    <x v="0"/>
  </r>
  <r>
    <n v="326"/>
    <x v="1"/>
    <s v="Android"/>
    <n v="203"/>
    <n v="4.3"/>
    <n v="1554"/>
    <n v="54"/>
    <n v="638"/>
    <n v="25"/>
    <x v="3"/>
    <s v="Early Career"/>
    <s v="Female"/>
    <n v="3"/>
    <x v="1"/>
  </r>
  <r>
    <n v="327"/>
    <x v="4"/>
    <s v="Android"/>
    <n v="199"/>
    <n v="6"/>
    <n v="1707"/>
    <n v="57"/>
    <n v="881"/>
    <n v="55"/>
    <x v="4"/>
    <s v="Pre-retirment"/>
    <s v="Male"/>
    <n v="3"/>
    <x v="1"/>
  </r>
  <r>
    <n v="328"/>
    <x v="1"/>
    <s v="Android"/>
    <n v="48"/>
    <n v="2"/>
    <n v="574"/>
    <n v="18"/>
    <n v="127"/>
    <n v="24"/>
    <x v="2"/>
    <s v="Young Adults"/>
    <s v="Female"/>
    <n v="1"/>
    <x v="2"/>
  </r>
  <r>
    <n v="329"/>
    <x v="1"/>
    <s v="Android"/>
    <n v="88"/>
    <n v="1.6"/>
    <n v="420"/>
    <n v="12"/>
    <n v="274"/>
    <n v="31"/>
    <x v="3"/>
    <s v="Early Career"/>
    <s v="Female"/>
    <n v="1"/>
    <x v="2"/>
  </r>
  <r>
    <n v="330"/>
    <x v="3"/>
    <s v="iOS"/>
    <n v="541"/>
    <n v="8.3000000000000007"/>
    <n v="2865"/>
    <n v="89"/>
    <n v="1820"/>
    <n v="42"/>
    <x v="0"/>
    <s v="Mid Career"/>
    <s v="Female"/>
    <n v="5"/>
    <x v="0"/>
  </r>
  <r>
    <n v="331"/>
    <x v="0"/>
    <s v="Android"/>
    <n v="233"/>
    <n v="4.5999999999999996"/>
    <n v="1534"/>
    <n v="49"/>
    <n v="796"/>
    <n v="21"/>
    <x v="2"/>
    <s v="Young Adults"/>
    <s v="Female"/>
    <n v="3"/>
    <x v="1"/>
  </r>
  <r>
    <n v="332"/>
    <x v="3"/>
    <s v="iOS"/>
    <n v="176"/>
    <n v="3.8"/>
    <n v="727"/>
    <n v="36"/>
    <n v="362"/>
    <n v="47"/>
    <x v="1"/>
    <s v="Mature Adults"/>
    <s v="Female"/>
    <n v="2"/>
    <x v="2"/>
  </r>
  <r>
    <n v="333"/>
    <x v="1"/>
    <s v="Android"/>
    <n v="191"/>
    <n v="6"/>
    <n v="1762"/>
    <n v="45"/>
    <n v="904"/>
    <n v="54"/>
    <x v="1"/>
    <s v="Mature Adults"/>
    <s v="Male"/>
    <n v="3"/>
    <x v="1"/>
  </r>
  <r>
    <n v="334"/>
    <x v="0"/>
    <s v="Android"/>
    <n v="461"/>
    <n v="7.5"/>
    <n v="2001"/>
    <n v="69"/>
    <n v="1324"/>
    <n v="34"/>
    <x v="3"/>
    <s v="Early Career"/>
    <s v="Female"/>
    <n v="4"/>
    <x v="0"/>
  </r>
  <r>
    <n v="335"/>
    <x v="4"/>
    <s v="Android"/>
    <n v="37"/>
    <n v="1.5"/>
    <n v="375"/>
    <n v="18"/>
    <n v="246"/>
    <n v="46"/>
    <x v="1"/>
    <s v="Mature Adults"/>
    <s v="Female"/>
    <n v="1"/>
    <x v="2"/>
  </r>
  <r>
    <n v="336"/>
    <x v="1"/>
    <s v="Android"/>
    <n v="531"/>
    <n v="9.8000000000000007"/>
    <n v="2905"/>
    <n v="99"/>
    <n v="1632"/>
    <n v="45"/>
    <x v="1"/>
    <s v="Mature Adults"/>
    <s v="Female"/>
    <n v="5"/>
    <x v="0"/>
  </r>
  <r>
    <n v="337"/>
    <x v="4"/>
    <s v="Android"/>
    <n v="473"/>
    <n v="7.9"/>
    <n v="2292"/>
    <n v="62"/>
    <n v="1472"/>
    <n v="44"/>
    <x v="0"/>
    <s v="Mid Career"/>
    <s v="Male"/>
    <n v="4"/>
    <x v="0"/>
  </r>
  <r>
    <n v="338"/>
    <x v="4"/>
    <s v="Android"/>
    <n v="30"/>
    <n v="1.3"/>
    <n v="561"/>
    <n v="15"/>
    <n v="252"/>
    <n v="34"/>
    <x v="3"/>
    <s v="Early Career"/>
    <s v="Male"/>
    <n v="1"/>
    <x v="2"/>
  </r>
  <r>
    <n v="339"/>
    <x v="3"/>
    <s v="iOS"/>
    <n v="306"/>
    <n v="6.1"/>
    <n v="2267"/>
    <n v="70"/>
    <n v="1449"/>
    <n v="46"/>
    <x v="1"/>
    <s v="Mature Adults"/>
    <s v="Male"/>
    <n v="4"/>
    <x v="0"/>
  </r>
  <r>
    <n v="340"/>
    <x v="3"/>
    <s v="iOS"/>
    <n v="64"/>
    <n v="1.2"/>
    <n v="590"/>
    <n v="13"/>
    <n v="155"/>
    <n v="30"/>
    <x v="3"/>
    <s v="Early Career"/>
    <s v="Male"/>
    <n v="1"/>
    <x v="2"/>
  </r>
  <r>
    <n v="341"/>
    <x v="3"/>
    <s v="iOS"/>
    <n v="75"/>
    <n v="1"/>
    <n v="435"/>
    <n v="13"/>
    <n v="223"/>
    <n v="43"/>
    <x v="0"/>
    <s v="Mid Career"/>
    <s v="Male"/>
    <n v="1"/>
    <x v="2"/>
  </r>
  <r>
    <n v="342"/>
    <x v="3"/>
    <s v="iOS"/>
    <n v="597"/>
    <n v="10.3"/>
    <n v="2718"/>
    <n v="90"/>
    <n v="1863"/>
    <n v="26"/>
    <x v="3"/>
    <s v="Early Career"/>
    <s v="Female"/>
    <n v="5"/>
    <x v="0"/>
  </r>
  <r>
    <n v="343"/>
    <x v="3"/>
    <s v="iOS"/>
    <n v="529"/>
    <n v="10.5"/>
    <n v="2971"/>
    <n v="87"/>
    <n v="1683"/>
    <n v="56"/>
    <x v="4"/>
    <s v="Pre-retirment"/>
    <s v="Male"/>
    <n v="5"/>
    <x v="0"/>
  </r>
  <r>
    <n v="344"/>
    <x v="3"/>
    <s v="iOS"/>
    <n v="290"/>
    <n v="6"/>
    <n v="1533"/>
    <n v="54"/>
    <n v="645"/>
    <n v="57"/>
    <x v="4"/>
    <s v="Pre-retirment"/>
    <s v="Female"/>
    <n v="3"/>
    <x v="1"/>
  </r>
  <r>
    <n v="345"/>
    <x v="3"/>
    <s v="iOS"/>
    <n v="256"/>
    <n v="5.8"/>
    <n v="1309"/>
    <n v="52"/>
    <n v="840"/>
    <n v="43"/>
    <x v="0"/>
    <s v="Mid Career"/>
    <s v="Male"/>
    <n v="3"/>
    <x v="1"/>
  </r>
  <r>
    <n v="346"/>
    <x v="3"/>
    <s v="iOS"/>
    <n v="308"/>
    <n v="7.7"/>
    <n v="1974"/>
    <n v="73"/>
    <n v="1431"/>
    <n v="37"/>
    <x v="0"/>
    <s v="Mid Career"/>
    <s v="Female"/>
    <n v="4"/>
    <x v="0"/>
  </r>
  <r>
    <n v="347"/>
    <x v="1"/>
    <s v="Android"/>
    <n v="156"/>
    <n v="3.3"/>
    <n v="1020"/>
    <n v="38"/>
    <n v="447"/>
    <n v="57"/>
    <x v="4"/>
    <s v="Pre-retirment"/>
    <s v="Female"/>
    <n v="2"/>
    <x v="2"/>
  </r>
  <r>
    <n v="348"/>
    <x v="4"/>
    <s v="Android"/>
    <n v="62"/>
    <n v="1.4"/>
    <n v="542"/>
    <n v="18"/>
    <n v="266"/>
    <n v="46"/>
    <x v="1"/>
    <s v="Mature Adults"/>
    <s v="Male"/>
    <n v="1"/>
    <x v="2"/>
  </r>
  <r>
    <n v="349"/>
    <x v="0"/>
    <s v="Android"/>
    <n v="156"/>
    <n v="3.8"/>
    <n v="866"/>
    <n v="34"/>
    <n v="510"/>
    <n v="26"/>
    <x v="3"/>
    <s v="Early Career"/>
    <s v="Male"/>
    <n v="2"/>
    <x v="2"/>
  </r>
  <r>
    <n v="350"/>
    <x v="4"/>
    <s v="Android"/>
    <n v="303"/>
    <n v="7.4"/>
    <n v="2314"/>
    <n v="66"/>
    <n v="1387"/>
    <n v="34"/>
    <x v="3"/>
    <s v="Early Career"/>
    <s v="Male"/>
    <n v="4"/>
    <x v="0"/>
  </r>
  <r>
    <n v="351"/>
    <x v="4"/>
    <s v="Android"/>
    <n v="463"/>
    <n v="6.9"/>
    <n v="2111"/>
    <n v="73"/>
    <n v="1463"/>
    <n v="54"/>
    <x v="1"/>
    <s v="Mature Adults"/>
    <s v="Male"/>
    <n v="4"/>
    <x v="0"/>
  </r>
  <r>
    <n v="352"/>
    <x v="0"/>
    <s v="Android"/>
    <n v="60"/>
    <n v="1.5"/>
    <n v="593"/>
    <n v="14"/>
    <n v="281"/>
    <n v="35"/>
    <x v="0"/>
    <s v="Mid Career"/>
    <s v="Female"/>
    <n v="1"/>
    <x v="2"/>
  </r>
  <r>
    <n v="353"/>
    <x v="0"/>
    <s v="Android"/>
    <n v="225"/>
    <n v="4.5999999999999996"/>
    <n v="1230"/>
    <n v="52"/>
    <n v="954"/>
    <n v="20"/>
    <x v="2"/>
    <s v="Young Adults"/>
    <s v="Female"/>
    <n v="3"/>
    <x v="1"/>
  </r>
  <r>
    <n v="354"/>
    <x v="4"/>
    <s v="Android"/>
    <n v="379"/>
    <n v="7.5"/>
    <n v="1823"/>
    <n v="68"/>
    <n v="1075"/>
    <n v="53"/>
    <x v="1"/>
    <s v="Mature Adults"/>
    <s v="Female"/>
    <n v="4"/>
    <x v="0"/>
  </r>
  <r>
    <n v="355"/>
    <x v="1"/>
    <s v="Android"/>
    <n v="53"/>
    <n v="1.4"/>
    <n v="455"/>
    <n v="14"/>
    <n v="106"/>
    <n v="54"/>
    <x v="1"/>
    <s v="Mature Adults"/>
    <s v="Female"/>
    <n v="1"/>
    <x v="2"/>
  </r>
  <r>
    <n v="356"/>
    <x v="4"/>
    <s v="Android"/>
    <n v="30"/>
    <n v="1.9"/>
    <n v="574"/>
    <n v="19"/>
    <n v="287"/>
    <n v="45"/>
    <x v="1"/>
    <s v="Mature Adults"/>
    <s v="Male"/>
    <n v="1"/>
    <x v="2"/>
  </r>
  <r>
    <n v="357"/>
    <x v="3"/>
    <s v="iOS"/>
    <n v="291"/>
    <n v="4.0999999999999996"/>
    <n v="1326"/>
    <n v="51"/>
    <n v="905"/>
    <n v="55"/>
    <x v="4"/>
    <s v="Pre-retirment"/>
    <s v="Female"/>
    <n v="3"/>
    <x v="1"/>
  </r>
  <r>
    <n v="358"/>
    <x v="3"/>
    <s v="iOS"/>
    <n v="488"/>
    <n v="9.5"/>
    <n v="2840"/>
    <n v="92"/>
    <n v="1986"/>
    <n v="48"/>
    <x v="1"/>
    <s v="Mature Adults"/>
    <s v="Female"/>
    <n v="5"/>
    <x v="0"/>
  </r>
  <r>
    <n v="359"/>
    <x v="0"/>
    <s v="Android"/>
    <n v="74"/>
    <n v="2"/>
    <n v="366"/>
    <n v="13"/>
    <n v="253"/>
    <n v="44"/>
    <x v="0"/>
    <s v="Mid Career"/>
    <s v="Female"/>
    <n v="1"/>
    <x v="2"/>
  </r>
  <r>
    <n v="360"/>
    <x v="4"/>
    <s v="Android"/>
    <n v="230"/>
    <n v="4.5999999999999996"/>
    <n v="1325"/>
    <n v="55"/>
    <n v="845"/>
    <n v="54"/>
    <x v="1"/>
    <s v="Mature Adults"/>
    <s v="Female"/>
    <n v="3"/>
    <x v="1"/>
  </r>
  <r>
    <n v="361"/>
    <x v="4"/>
    <s v="Android"/>
    <n v="517"/>
    <n v="11.8"/>
    <n v="2435"/>
    <n v="86"/>
    <n v="2208"/>
    <n v="26"/>
    <x v="3"/>
    <s v="Early Career"/>
    <s v="Male"/>
    <n v="5"/>
    <x v="0"/>
  </r>
  <r>
    <n v="362"/>
    <x v="1"/>
    <s v="Android"/>
    <n v="557"/>
    <n v="10.4"/>
    <n v="2900"/>
    <n v="97"/>
    <n v="1609"/>
    <n v="22"/>
    <x v="2"/>
    <s v="Young Adults"/>
    <s v="Male"/>
    <n v="5"/>
    <x v="0"/>
  </r>
  <r>
    <n v="363"/>
    <x v="2"/>
    <s v="Android"/>
    <n v="78"/>
    <n v="1.5"/>
    <n v="341"/>
    <n v="11"/>
    <n v="259"/>
    <n v="38"/>
    <x v="0"/>
    <s v="Mid Career"/>
    <s v="Female"/>
    <n v="1"/>
    <x v="2"/>
  </r>
  <r>
    <n v="364"/>
    <x v="3"/>
    <s v="iOS"/>
    <n v="321"/>
    <n v="7.9"/>
    <n v="2159"/>
    <n v="64"/>
    <n v="1499"/>
    <n v="45"/>
    <x v="1"/>
    <s v="Mature Adults"/>
    <s v="Male"/>
    <n v="4"/>
    <x v="0"/>
  </r>
  <r>
    <n v="365"/>
    <x v="2"/>
    <s v="Android"/>
    <n v="579"/>
    <n v="8.6"/>
    <n v="2539"/>
    <n v="84"/>
    <n v="1935"/>
    <n v="34"/>
    <x v="3"/>
    <s v="Early Career"/>
    <s v="Male"/>
    <n v="5"/>
    <x v="0"/>
  </r>
  <r>
    <n v="366"/>
    <x v="1"/>
    <s v="Android"/>
    <n v="382"/>
    <n v="7.2"/>
    <n v="1965"/>
    <n v="67"/>
    <n v="1341"/>
    <n v="22"/>
    <x v="2"/>
    <s v="Young Adults"/>
    <s v="Male"/>
    <n v="4"/>
    <x v="0"/>
  </r>
  <r>
    <n v="367"/>
    <x v="2"/>
    <s v="Android"/>
    <n v="516"/>
    <n v="11.6"/>
    <n v="2464"/>
    <n v="82"/>
    <n v="1767"/>
    <n v="29"/>
    <x v="3"/>
    <s v="Early Career"/>
    <s v="Female"/>
    <n v="5"/>
    <x v="0"/>
  </r>
  <r>
    <n v="368"/>
    <x v="1"/>
    <s v="Android"/>
    <n v="598"/>
    <n v="11.2"/>
    <n v="2876"/>
    <n v="85"/>
    <n v="2477"/>
    <n v="58"/>
    <x v="4"/>
    <s v="Pre-retirment"/>
    <s v="Female"/>
    <n v="5"/>
    <x v="0"/>
  </r>
  <r>
    <n v="369"/>
    <x v="1"/>
    <s v="Android"/>
    <n v="102"/>
    <n v="3.9"/>
    <n v="747"/>
    <n v="36"/>
    <n v="408"/>
    <n v="49"/>
    <x v="1"/>
    <s v="Mature Adults"/>
    <s v="Female"/>
    <n v="2"/>
    <x v="2"/>
  </r>
  <r>
    <n v="370"/>
    <x v="3"/>
    <s v="iOS"/>
    <n v="165"/>
    <n v="2.4"/>
    <n v="816"/>
    <n v="35"/>
    <n v="503"/>
    <n v="34"/>
    <x v="3"/>
    <s v="Early Career"/>
    <s v="Male"/>
    <n v="2"/>
    <x v="2"/>
  </r>
  <r>
    <n v="371"/>
    <x v="3"/>
    <s v="iOS"/>
    <n v="558"/>
    <n v="9.8000000000000007"/>
    <n v="2765"/>
    <n v="83"/>
    <n v="1548"/>
    <n v="25"/>
    <x v="3"/>
    <s v="Early Career"/>
    <s v="Female"/>
    <n v="5"/>
    <x v="0"/>
  </r>
  <r>
    <n v="372"/>
    <x v="0"/>
    <s v="Android"/>
    <n v="561"/>
    <n v="10.6"/>
    <n v="2547"/>
    <n v="86"/>
    <n v="1823"/>
    <n v="22"/>
    <x v="2"/>
    <s v="Young Adults"/>
    <s v="Male"/>
    <n v="5"/>
    <x v="0"/>
  </r>
  <r>
    <n v="373"/>
    <x v="4"/>
    <s v="Android"/>
    <n v="511"/>
    <n v="10.9"/>
    <n v="2514"/>
    <n v="91"/>
    <n v="2335"/>
    <n v="59"/>
    <x v="4"/>
    <s v="Pre-retirment"/>
    <s v="Female"/>
    <n v="5"/>
    <x v="0"/>
  </r>
  <r>
    <n v="374"/>
    <x v="0"/>
    <s v="Android"/>
    <n v="560"/>
    <n v="11.3"/>
    <n v="2947"/>
    <n v="95"/>
    <n v="1663"/>
    <n v="25"/>
    <x v="3"/>
    <s v="Early Career"/>
    <s v="Female"/>
    <n v="5"/>
    <x v="0"/>
  </r>
  <r>
    <n v="375"/>
    <x v="1"/>
    <s v="Android"/>
    <n v="69"/>
    <n v="1.3"/>
    <n v="434"/>
    <n v="12"/>
    <n v="164"/>
    <n v="42"/>
    <x v="0"/>
    <s v="Mid Career"/>
    <s v="Male"/>
    <n v="1"/>
    <x v="2"/>
  </r>
  <r>
    <n v="376"/>
    <x v="1"/>
    <s v="Android"/>
    <n v="44"/>
    <n v="1.1000000000000001"/>
    <n v="531"/>
    <n v="17"/>
    <n v="232"/>
    <n v="26"/>
    <x v="3"/>
    <s v="Early Career"/>
    <s v="Male"/>
    <n v="1"/>
    <x v="2"/>
  </r>
  <r>
    <n v="377"/>
    <x v="3"/>
    <s v="iOS"/>
    <n v="65"/>
    <n v="1.7"/>
    <n v="490"/>
    <n v="17"/>
    <n v="122"/>
    <n v="51"/>
    <x v="1"/>
    <s v="Mature Adults"/>
    <s v="Female"/>
    <n v="1"/>
    <x v="2"/>
  </r>
  <r>
    <n v="378"/>
    <x v="0"/>
    <s v="Android"/>
    <n v="458"/>
    <n v="6"/>
    <n v="1875"/>
    <n v="63"/>
    <n v="1072"/>
    <n v="31"/>
    <x v="3"/>
    <s v="Early Career"/>
    <s v="Female"/>
    <n v="4"/>
    <x v="0"/>
  </r>
  <r>
    <n v="379"/>
    <x v="4"/>
    <s v="Android"/>
    <n v="525"/>
    <n v="10.8"/>
    <n v="2445"/>
    <n v="99"/>
    <n v="1623"/>
    <n v="57"/>
    <x v="4"/>
    <s v="Pre-retirment"/>
    <s v="Male"/>
    <n v="5"/>
    <x v="0"/>
  </r>
  <r>
    <n v="380"/>
    <x v="1"/>
    <s v="Android"/>
    <n v="106"/>
    <n v="3"/>
    <n v="922"/>
    <n v="22"/>
    <n v="313"/>
    <n v="51"/>
    <x v="1"/>
    <s v="Mature Adults"/>
    <s v="Male"/>
    <n v="2"/>
    <x v="2"/>
  </r>
  <r>
    <n v="381"/>
    <x v="3"/>
    <s v="iOS"/>
    <n v="188"/>
    <n v="4.5999999999999996"/>
    <n v="1767"/>
    <n v="47"/>
    <n v="653"/>
    <n v="34"/>
    <x v="3"/>
    <s v="Early Career"/>
    <s v="Male"/>
    <n v="3"/>
    <x v="1"/>
  </r>
  <r>
    <n v="382"/>
    <x v="3"/>
    <s v="iOS"/>
    <n v="493"/>
    <n v="10.4"/>
    <n v="2453"/>
    <n v="99"/>
    <n v="1813"/>
    <n v="39"/>
    <x v="0"/>
    <s v="Mid Career"/>
    <s v="Male"/>
    <n v="5"/>
    <x v="0"/>
  </r>
  <r>
    <n v="383"/>
    <x v="1"/>
    <s v="Android"/>
    <n v="84"/>
    <n v="1.5"/>
    <n v="373"/>
    <n v="19"/>
    <n v="299"/>
    <n v="37"/>
    <x v="0"/>
    <s v="Mid Career"/>
    <s v="Female"/>
    <n v="1"/>
    <x v="2"/>
  </r>
  <r>
    <n v="384"/>
    <x v="1"/>
    <s v="Android"/>
    <n v="104"/>
    <n v="2.9"/>
    <n v="653"/>
    <n v="35"/>
    <n v="322"/>
    <n v="30"/>
    <x v="3"/>
    <s v="Early Career"/>
    <s v="Male"/>
    <n v="2"/>
    <x v="2"/>
  </r>
  <r>
    <n v="385"/>
    <x v="4"/>
    <s v="Android"/>
    <n v="102"/>
    <n v="3"/>
    <n v="890"/>
    <n v="38"/>
    <n v="548"/>
    <n v="28"/>
    <x v="3"/>
    <s v="Early Career"/>
    <s v="Male"/>
    <n v="2"/>
    <x v="2"/>
  </r>
  <r>
    <n v="386"/>
    <x v="3"/>
    <s v="iOS"/>
    <n v="349"/>
    <n v="6.6"/>
    <n v="2041"/>
    <n v="78"/>
    <n v="1096"/>
    <n v="40"/>
    <x v="0"/>
    <s v="Mid Career"/>
    <s v="Female"/>
    <n v="4"/>
    <x v="0"/>
  </r>
  <r>
    <n v="387"/>
    <x v="1"/>
    <s v="Android"/>
    <n v="98"/>
    <n v="2"/>
    <n v="925"/>
    <n v="32"/>
    <n v="457"/>
    <n v="28"/>
    <x v="3"/>
    <s v="Early Career"/>
    <s v="Male"/>
    <n v="2"/>
    <x v="2"/>
  </r>
  <r>
    <n v="388"/>
    <x v="4"/>
    <s v="Android"/>
    <n v="72"/>
    <n v="1.3"/>
    <n v="461"/>
    <n v="13"/>
    <n v="199"/>
    <n v="32"/>
    <x v="3"/>
    <s v="Early Career"/>
    <s v="Male"/>
    <n v="1"/>
    <x v="2"/>
  </r>
  <r>
    <n v="389"/>
    <x v="2"/>
    <s v="Android"/>
    <n v="563"/>
    <n v="11.6"/>
    <n v="2968"/>
    <n v="92"/>
    <n v="2191"/>
    <n v="34"/>
    <x v="3"/>
    <s v="Early Career"/>
    <s v="Female"/>
    <n v="5"/>
    <x v="0"/>
  </r>
  <r>
    <n v="390"/>
    <x v="2"/>
    <s v="Android"/>
    <n v="119"/>
    <n v="2.8"/>
    <n v="775"/>
    <n v="31"/>
    <n v="313"/>
    <n v="50"/>
    <x v="1"/>
    <s v="Mature Adults"/>
    <s v="Female"/>
    <n v="2"/>
    <x v="2"/>
  </r>
  <r>
    <n v="391"/>
    <x v="1"/>
    <s v="Android"/>
    <n v="311"/>
    <n v="7.9"/>
    <n v="2231"/>
    <n v="69"/>
    <n v="1021"/>
    <n v="36"/>
    <x v="0"/>
    <s v="Mid Career"/>
    <s v="Male"/>
    <n v="4"/>
    <x v="0"/>
  </r>
  <r>
    <n v="392"/>
    <x v="1"/>
    <s v="Android"/>
    <n v="337"/>
    <n v="6.1"/>
    <n v="1901"/>
    <n v="76"/>
    <n v="1359"/>
    <n v="58"/>
    <x v="4"/>
    <s v="Pre-retirment"/>
    <s v="Male"/>
    <n v="4"/>
    <x v="0"/>
  </r>
  <r>
    <n v="393"/>
    <x v="4"/>
    <s v="Android"/>
    <n v="168"/>
    <n v="3.5"/>
    <n v="1055"/>
    <n v="29"/>
    <n v="313"/>
    <n v="54"/>
    <x v="1"/>
    <s v="Mature Adults"/>
    <s v="Male"/>
    <n v="2"/>
    <x v="2"/>
  </r>
  <r>
    <n v="394"/>
    <x v="3"/>
    <s v="iOS"/>
    <n v="331"/>
    <n v="7.4"/>
    <n v="2129"/>
    <n v="66"/>
    <n v="1459"/>
    <n v="53"/>
    <x v="1"/>
    <s v="Mature Adults"/>
    <s v="Male"/>
    <n v="4"/>
    <x v="0"/>
  </r>
  <r>
    <n v="395"/>
    <x v="0"/>
    <s v="Android"/>
    <n v="589"/>
    <n v="9.1999999999999993"/>
    <n v="2663"/>
    <n v="84"/>
    <n v="1774"/>
    <n v="45"/>
    <x v="1"/>
    <s v="Mature Adults"/>
    <s v="Female"/>
    <n v="5"/>
    <x v="0"/>
  </r>
  <r>
    <n v="396"/>
    <x v="2"/>
    <s v="Android"/>
    <n v="472"/>
    <n v="6.8"/>
    <n v="2288"/>
    <n v="61"/>
    <n v="1356"/>
    <n v="52"/>
    <x v="1"/>
    <s v="Mature Adults"/>
    <s v="Male"/>
    <n v="4"/>
    <x v="0"/>
  </r>
  <r>
    <n v="397"/>
    <x v="2"/>
    <s v="Android"/>
    <n v="78"/>
    <n v="1.1000000000000001"/>
    <n v="437"/>
    <n v="14"/>
    <n v="143"/>
    <n v="27"/>
    <x v="3"/>
    <s v="Early Career"/>
    <s v="Female"/>
    <n v="1"/>
    <x v="2"/>
  </r>
  <r>
    <n v="398"/>
    <x v="3"/>
    <s v="iOS"/>
    <n v="517"/>
    <n v="11.6"/>
    <n v="2798"/>
    <n v="90"/>
    <n v="2175"/>
    <n v="20"/>
    <x v="2"/>
    <s v="Young Adults"/>
    <s v="Male"/>
    <n v="5"/>
    <x v="0"/>
  </r>
  <r>
    <n v="399"/>
    <x v="1"/>
    <s v="Android"/>
    <n v="41"/>
    <n v="1.6"/>
    <n v="323"/>
    <n v="18"/>
    <n v="221"/>
    <n v="43"/>
    <x v="0"/>
    <s v="Mid Career"/>
    <s v="Female"/>
    <n v="1"/>
    <x v="2"/>
  </r>
  <r>
    <n v="400"/>
    <x v="1"/>
    <s v="Android"/>
    <n v="49"/>
    <n v="1.5"/>
    <n v="571"/>
    <n v="10"/>
    <n v="203"/>
    <n v="29"/>
    <x v="3"/>
    <s v="Early Career"/>
    <s v="Male"/>
    <n v="1"/>
    <x v="2"/>
  </r>
  <r>
    <n v="401"/>
    <x v="2"/>
    <s v="Android"/>
    <n v="522"/>
    <n v="11.1"/>
    <n v="2821"/>
    <n v="86"/>
    <n v="1891"/>
    <n v="42"/>
    <x v="0"/>
    <s v="Mid Career"/>
    <s v="Male"/>
    <n v="5"/>
    <x v="0"/>
  </r>
  <r>
    <n v="402"/>
    <x v="0"/>
    <s v="Android"/>
    <n v="97"/>
    <n v="2.7"/>
    <n v="612"/>
    <n v="36"/>
    <n v="508"/>
    <n v="53"/>
    <x v="1"/>
    <s v="Mature Adults"/>
    <s v="Male"/>
    <n v="2"/>
    <x v="2"/>
  </r>
  <r>
    <n v="403"/>
    <x v="3"/>
    <s v="iOS"/>
    <n v="411"/>
    <n v="7.4"/>
    <n v="1960"/>
    <n v="71"/>
    <n v="1264"/>
    <n v="40"/>
    <x v="0"/>
    <s v="Mid Career"/>
    <s v="Male"/>
    <n v="4"/>
    <x v="0"/>
  </r>
  <r>
    <n v="404"/>
    <x v="4"/>
    <s v="Android"/>
    <n v="566"/>
    <n v="8.6"/>
    <n v="2595"/>
    <n v="89"/>
    <n v="1657"/>
    <n v="51"/>
    <x v="1"/>
    <s v="Mature Adults"/>
    <s v="Female"/>
    <n v="5"/>
    <x v="0"/>
  </r>
  <r>
    <n v="405"/>
    <x v="3"/>
    <s v="iOS"/>
    <n v="559"/>
    <n v="8.1999999999999993"/>
    <n v="2618"/>
    <n v="84"/>
    <n v="2102"/>
    <n v="22"/>
    <x v="2"/>
    <s v="Young Adults"/>
    <s v="Female"/>
    <n v="5"/>
    <x v="0"/>
  </r>
  <r>
    <n v="406"/>
    <x v="0"/>
    <s v="Android"/>
    <n v="478"/>
    <n v="7.3"/>
    <n v="2340"/>
    <n v="69"/>
    <n v="1017"/>
    <n v="43"/>
    <x v="0"/>
    <s v="Mid Career"/>
    <s v="Female"/>
    <n v="4"/>
    <x v="0"/>
  </r>
  <r>
    <n v="407"/>
    <x v="2"/>
    <s v="Android"/>
    <n v="147"/>
    <n v="3.2"/>
    <n v="994"/>
    <n v="33"/>
    <n v="567"/>
    <n v="25"/>
    <x v="3"/>
    <s v="Early Career"/>
    <s v="Female"/>
    <n v="2"/>
    <x v="2"/>
  </r>
  <r>
    <n v="408"/>
    <x v="1"/>
    <s v="Android"/>
    <n v="395"/>
    <n v="7.3"/>
    <n v="2291"/>
    <n v="61"/>
    <n v="1049"/>
    <n v="55"/>
    <x v="4"/>
    <s v="Pre-retirment"/>
    <s v="Female"/>
    <n v="4"/>
    <x v="0"/>
  </r>
  <r>
    <n v="409"/>
    <x v="4"/>
    <s v="Android"/>
    <n v="357"/>
    <n v="7.8"/>
    <n v="2289"/>
    <n v="74"/>
    <n v="1242"/>
    <n v="22"/>
    <x v="2"/>
    <s v="Young Adults"/>
    <s v="Female"/>
    <n v="4"/>
    <x v="0"/>
  </r>
  <r>
    <n v="410"/>
    <x v="0"/>
    <s v="Android"/>
    <n v="405"/>
    <n v="6.9"/>
    <n v="2366"/>
    <n v="61"/>
    <n v="1434"/>
    <n v="51"/>
    <x v="1"/>
    <s v="Mature Adults"/>
    <s v="Male"/>
    <n v="4"/>
    <x v="0"/>
  </r>
  <r>
    <n v="411"/>
    <x v="4"/>
    <s v="Android"/>
    <n v="501"/>
    <n v="11.8"/>
    <n v="2790"/>
    <n v="86"/>
    <n v="2074"/>
    <n v="31"/>
    <x v="3"/>
    <s v="Early Career"/>
    <s v="Female"/>
    <n v="5"/>
    <x v="0"/>
  </r>
  <r>
    <n v="412"/>
    <x v="2"/>
    <s v="Android"/>
    <n v="575"/>
    <n v="8.1999999999999993"/>
    <n v="2918"/>
    <n v="88"/>
    <n v="1928"/>
    <n v="50"/>
    <x v="1"/>
    <s v="Mature Adults"/>
    <s v="Male"/>
    <n v="5"/>
    <x v="0"/>
  </r>
  <r>
    <n v="413"/>
    <x v="1"/>
    <s v="Android"/>
    <n v="257"/>
    <n v="5.0999999999999996"/>
    <n v="1692"/>
    <n v="46"/>
    <n v="769"/>
    <n v="52"/>
    <x v="1"/>
    <s v="Mature Adults"/>
    <s v="Female"/>
    <n v="3"/>
    <x v="1"/>
  </r>
  <r>
    <n v="414"/>
    <x v="3"/>
    <s v="iOS"/>
    <n v="270"/>
    <n v="5"/>
    <n v="1532"/>
    <n v="51"/>
    <n v="957"/>
    <n v="35"/>
    <x v="0"/>
    <s v="Mid Career"/>
    <s v="Male"/>
    <n v="3"/>
    <x v="1"/>
  </r>
  <r>
    <n v="415"/>
    <x v="0"/>
    <s v="Android"/>
    <n v="116"/>
    <n v="2"/>
    <n v="1171"/>
    <n v="22"/>
    <n v="573"/>
    <n v="33"/>
    <x v="3"/>
    <s v="Early Career"/>
    <s v="Female"/>
    <n v="2"/>
    <x v="2"/>
  </r>
  <r>
    <n v="416"/>
    <x v="3"/>
    <s v="iOS"/>
    <n v="98"/>
    <n v="2.2999999999999998"/>
    <n v="608"/>
    <n v="24"/>
    <n v="394"/>
    <n v="56"/>
    <x v="4"/>
    <s v="Pre-retirment"/>
    <s v="Male"/>
    <n v="2"/>
    <x v="2"/>
  </r>
  <r>
    <n v="417"/>
    <x v="2"/>
    <s v="Android"/>
    <n v="264"/>
    <n v="5.0999999999999996"/>
    <n v="1293"/>
    <n v="52"/>
    <n v="737"/>
    <n v="27"/>
    <x v="3"/>
    <s v="Early Career"/>
    <s v="Female"/>
    <n v="3"/>
    <x v="1"/>
  </r>
  <r>
    <n v="418"/>
    <x v="4"/>
    <s v="Android"/>
    <n v="572"/>
    <n v="11.7"/>
    <n v="2655"/>
    <n v="91"/>
    <n v="2481"/>
    <n v="57"/>
    <x v="4"/>
    <s v="Pre-retirment"/>
    <s v="Female"/>
    <n v="5"/>
    <x v="0"/>
  </r>
  <r>
    <n v="419"/>
    <x v="2"/>
    <s v="Android"/>
    <n v="202"/>
    <n v="4.9000000000000004"/>
    <n v="1549"/>
    <n v="43"/>
    <n v="964"/>
    <n v="27"/>
    <x v="3"/>
    <s v="Early Career"/>
    <s v="Female"/>
    <n v="3"/>
    <x v="1"/>
  </r>
  <r>
    <n v="420"/>
    <x v="3"/>
    <s v="iOS"/>
    <n v="83"/>
    <n v="1.4"/>
    <n v="454"/>
    <n v="11"/>
    <n v="228"/>
    <n v="46"/>
    <x v="1"/>
    <s v="Mature Adults"/>
    <s v="Male"/>
    <n v="1"/>
    <x v="2"/>
  </r>
  <r>
    <n v="421"/>
    <x v="3"/>
    <s v="iOS"/>
    <n v="32"/>
    <n v="1.4"/>
    <n v="416"/>
    <n v="12"/>
    <n v="198"/>
    <n v="56"/>
    <x v="4"/>
    <s v="Pre-retirment"/>
    <s v="Male"/>
    <n v="1"/>
    <x v="2"/>
  </r>
  <r>
    <n v="422"/>
    <x v="3"/>
    <s v="iOS"/>
    <n v="168"/>
    <n v="3.2"/>
    <n v="716"/>
    <n v="38"/>
    <n v="414"/>
    <n v="43"/>
    <x v="0"/>
    <s v="Mid Career"/>
    <s v="Male"/>
    <n v="2"/>
    <x v="2"/>
  </r>
  <r>
    <n v="423"/>
    <x v="3"/>
    <s v="iOS"/>
    <n v="416"/>
    <n v="6.1"/>
    <n v="2115"/>
    <n v="71"/>
    <n v="1041"/>
    <n v="22"/>
    <x v="2"/>
    <s v="Young Adults"/>
    <s v="Female"/>
    <n v="4"/>
    <x v="0"/>
  </r>
  <r>
    <n v="424"/>
    <x v="2"/>
    <s v="Android"/>
    <n v="46"/>
    <n v="1.1000000000000001"/>
    <n v="536"/>
    <n v="18"/>
    <n v="167"/>
    <n v="28"/>
    <x v="3"/>
    <s v="Early Career"/>
    <s v="Female"/>
    <n v="1"/>
    <x v="2"/>
  </r>
  <r>
    <n v="425"/>
    <x v="1"/>
    <s v="Android"/>
    <n v="201"/>
    <n v="5"/>
    <n v="1482"/>
    <n v="59"/>
    <n v="709"/>
    <n v="24"/>
    <x v="2"/>
    <s v="Young Adults"/>
    <s v="Male"/>
    <n v="3"/>
    <x v="1"/>
  </r>
  <r>
    <n v="426"/>
    <x v="4"/>
    <s v="Android"/>
    <n v="130"/>
    <n v="2.8"/>
    <n v="1062"/>
    <n v="24"/>
    <n v="579"/>
    <n v="37"/>
    <x v="0"/>
    <s v="Mid Career"/>
    <s v="Male"/>
    <n v="2"/>
    <x v="2"/>
  </r>
  <r>
    <n v="427"/>
    <x v="1"/>
    <s v="Android"/>
    <n v="98"/>
    <n v="2.4"/>
    <n v="747"/>
    <n v="36"/>
    <n v="403"/>
    <n v="44"/>
    <x v="0"/>
    <s v="Mid Career"/>
    <s v="Female"/>
    <n v="2"/>
    <x v="2"/>
  </r>
  <r>
    <n v="428"/>
    <x v="1"/>
    <s v="Android"/>
    <n v="105"/>
    <n v="3.8"/>
    <n v="967"/>
    <n v="28"/>
    <n v="489"/>
    <n v="51"/>
    <x v="1"/>
    <s v="Mature Adults"/>
    <s v="Male"/>
    <n v="2"/>
    <x v="2"/>
  </r>
  <r>
    <n v="429"/>
    <x v="2"/>
    <s v="Android"/>
    <n v="94"/>
    <n v="2.2999999999999998"/>
    <n v="1033"/>
    <n v="33"/>
    <n v="369"/>
    <n v="58"/>
    <x v="4"/>
    <s v="Pre-retirment"/>
    <s v="Male"/>
    <n v="2"/>
    <x v="2"/>
  </r>
  <r>
    <n v="430"/>
    <x v="2"/>
    <s v="Android"/>
    <n v="540"/>
    <n v="10.1"/>
    <n v="2757"/>
    <n v="90"/>
    <n v="2180"/>
    <n v="37"/>
    <x v="0"/>
    <s v="Mid Career"/>
    <s v="Male"/>
    <n v="5"/>
    <x v="0"/>
  </r>
  <r>
    <n v="431"/>
    <x v="3"/>
    <s v="iOS"/>
    <n v="266"/>
    <n v="5.5"/>
    <n v="1238"/>
    <n v="59"/>
    <n v="839"/>
    <n v="22"/>
    <x v="2"/>
    <s v="Young Adults"/>
    <s v="Male"/>
    <n v="3"/>
    <x v="1"/>
  </r>
  <r>
    <n v="432"/>
    <x v="3"/>
    <s v="iOS"/>
    <n v="140"/>
    <n v="3.8"/>
    <n v="1137"/>
    <n v="36"/>
    <n v="506"/>
    <n v="53"/>
    <x v="1"/>
    <s v="Mature Adults"/>
    <s v="Male"/>
    <n v="2"/>
    <x v="2"/>
  </r>
  <r>
    <n v="433"/>
    <x v="0"/>
    <s v="Android"/>
    <n v="534"/>
    <n v="10.4"/>
    <n v="2672"/>
    <n v="90"/>
    <n v="1702"/>
    <n v="51"/>
    <x v="1"/>
    <s v="Mature Adults"/>
    <s v="Male"/>
    <n v="5"/>
    <x v="0"/>
  </r>
  <r>
    <n v="434"/>
    <x v="1"/>
    <s v="Android"/>
    <n v="46"/>
    <n v="2"/>
    <n v="309"/>
    <n v="15"/>
    <n v="116"/>
    <n v="42"/>
    <x v="0"/>
    <s v="Mid Career"/>
    <s v="Male"/>
    <n v="1"/>
    <x v="2"/>
  </r>
  <r>
    <n v="435"/>
    <x v="3"/>
    <s v="iOS"/>
    <n v="581"/>
    <n v="8.4"/>
    <n v="2591"/>
    <n v="99"/>
    <n v="2304"/>
    <n v="58"/>
    <x v="4"/>
    <s v="Pre-retirment"/>
    <s v="Male"/>
    <n v="5"/>
    <x v="0"/>
  </r>
  <r>
    <n v="436"/>
    <x v="2"/>
    <s v="Android"/>
    <n v="105"/>
    <n v="3.4"/>
    <n v="798"/>
    <n v="21"/>
    <n v="467"/>
    <n v="34"/>
    <x v="3"/>
    <s v="Early Career"/>
    <s v="Female"/>
    <n v="2"/>
    <x v="2"/>
  </r>
  <r>
    <n v="437"/>
    <x v="1"/>
    <s v="Android"/>
    <n v="221"/>
    <n v="4.4000000000000004"/>
    <n v="1341"/>
    <n v="46"/>
    <n v="862"/>
    <n v="20"/>
    <x v="2"/>
    <s v="Young Adults"/>
    <s v="Male"/>
    <n v="3"/>
    <x v="1"/>
  </r>
  <r>
    <n v="438"/>
    <x v="3"/>
    <s v="iOS"/>
    <n v="41"/>
    <n v="1.7"/>
    <n v="408"/>
    <n v="16"/>
    <n v="291"/>
    <n v="34"/>
    <x v="3"/>
    <s v="Early Career"/>
    <s v="Male"/>
    <n v="1"/>
    <x v="2"/>
  </r>
  <r>
    <n v="439"/>
    <x v="1"/>
    <s v="Android"/>
    <n v="105"/>
    <n v="3"/>
    <n v="728"/>
    <n v="24"/>
    <n v="343"/>
    <n v="52"/>
    <x v="1"/>
    <s v="Mature Adults"/>
    <s v="Female"/>
    <n v="2"/>
    <x v="2"/>
  </r>
  <r>
    <n v="440"/>
    <x v="0"/>
    <s v="Android"/>
    <n v="123"/>
    <n v="3.9"/>
    <n v="915"/>
    <n v="39"/>
    <n v="468"/>
    <n v="18"/>
    <x v="2"/>
    <s v="Young Adults"/>
    <s v="Male"/>
    <n v="2"/>
    <x v="2"/>
  </r>
  <r>
    <n v="441"/>
    <x v="0"/>
    <s v="Android"/>
    <n v="260"/>
    <n v="5.7"/>
    <n v="1725"/>
    <n v="56"/>
    <n v="920"/>
    <n v="36"/>
    <x v="0"/>
    <s v="Mid Career"/>
    <s v="Female"/>
    <n v="3"/>
    <x v="1"/>
  </r>
  <r>
    <n v="442"/>
    <x v="4"/>
    <s v="Android"/>
    <n v="223"/>
    <n v="5.7"/>
    <n v="1295"/>
    <n v="44"/>
    <n v="751"/>
    <n v="39"/>
    <x v="0"/>
    <s v="Mid Career"/>
    <s v="Male"/>
    <n v="3"/>
    <x v="1"/>
  </r>
  <r>
    <n v="443"/>
    <x v="0"/>
    <s v="Android"/>
    <n v="66"/>
    <n v="1.1000000000000001"/>
    <n v="505"/>
    <n v="17"/>
    <n v="218"/>
    <n v="33"/>
    <x v="3"/>
    <s v="Early Career"/>
    <s v="Male"/>
    <n v="1"/>
    <x v="2"/>
  </r>
  <r>
    <n v="444"/>
    <x v="3"/>
    <s v="iOS"/>
    <n v="231"/>
    <n v="4"/>
    <n v="1664"/>
    <n v="48"/>
    <n v="724"/>
    <n v="29"/>
    <x v="3"/>
    <s v="Early Career"/>
    <s v="Female"/>
    <n v="3"/>
    <x v="1"/>
  </r>
  <r>
    <n v="445"/>
    <x v="3"/>
    <s v="iOS"/>
    <n v="555"/>
    <n v="8.8000000000000007"/>
    <n v="2540"/>
    <n v="97"/>
    <n v="2402"/>
    <n v="22"/>
    <x v="2"/>
    <s v="Young Adults"/>
    <s v="Male"/>
    <n v="5"/>
    <x v="0"/>
  </r>
  <r>
    <n v="446"/>
    <x v="4"/>
    <s v="Android"/>
    <n v="378"/>
    <n v="7.2"/>
    <n v="1859"/>
    <n v="61"/>
    <n v="1318"/>
    <n v="58"/>
    <x v="4"/>
    <s v="Pre-retirment"/>
    <s v="Male"/>
    <n v="4"/>
    <x v="0"/>
  </r>
  <r>
    <n v="447"/>
    <x v="1"/>
    <s v="Android"/>
    <n v="546"/>
    <n v="8.8000000000000007"/>
    <n v="2852"/>
    <n v="81"/>
    <n v="1641"/>
    <n v="24"/>
    <x v="2"/>
    <s v="Young Adults"/>
    <s v="Male"/>
    <n v="5"/>
    <x v="0"/>
  </r>
  <r>
    <n v="448"/>
    <x v="4"/>
    <s v="Android"/>
    <n v="234"/>
    <n v="5.2"/>
    <n v="1604"/>
    <n v="58"/>
    <n v="919"/>
    <n v="58"/>
    <x v="4"/>
    <s v="Pre-retirment"/>
    <s v="Male"/>
    <n v="3"/>
    <x v="1"/>
  </r>
  <r>
    <n v="449"/>
    <x v="4"/>
    <s v="Android"/>
    <n v="152"/>
    <n v="3"/>
    <n v="617"/>
    <n v="22"/>
    <n v="306"/>
    <n v="22"/>
    <x v="2"/>
    <s v="Young Adults"/>
    <s v="Female"/>
    <n v="2"/>
    <x v="2"/>
  </r>
  <r>
    <n v="450"/>
    <x v="0"/>
    <s v="Android"/>
    <n v="34"/>
    <n v="1.2"/>
    <n v="518"/>
    <n v="10"/>
    <n v="170"/>
    <n v="20"/>
    <x v="2"/>
    <s v="Young Adults"/>
    <s v="Female"/>
    <n v="1"/>
    <x v="2"/>
  </r>
  <r>
    <n v="451"/>
    <x v="4"/>
    <s v="Android"/>
    <n v="179"/>
    <n v="3.5"/>
    <n v="1114"/>
    <n v="30"/>
    <n v="466"/>
    <n v="56"/>
    <x v="4"/>
    <s v="Pre-retirment"/>
    <s v="Male"/>
    <n v="2"/>
    <x v="2"/>
  </r>
  <r>
    <n v="452"/>
    <x v="1"/>
    <s v="Android"/>
    <n v="591"/>
    <n v="11.8"/>
    <n v="2953"/>
    <n v="92"/>
    <n v="1903"/>
    <n v="52"/>
    <x v="1"/>
    <s v="Mature Adults"/>
    <s v="Male"/>
    <n v="5"/>
    <x v="0"/>
  </r>
  <r>
    <n v="453"/>
    <x v="4"/>
    <s v="Android"/>
    <n v="120"/>
    <n v="3.3"/>
    <n v="734"/>
    <n v="35"/>
    <n v="583"/>
    <n v="26"/>
    <x v="3"/>
    <s v="Early Career"/>
    <s v="Male"/>
    <n v="2"/>
    <x v="2"/>
  </r>
  <r>
    <n v="454"/>
    <x v="0"/>
    <s v="Android"/>
    <n v="88"/>
    <n v="1.3"/>
    <n v="557"/>
    <n v="13"/>
    <n v="164"/>
    <n v="43"/>
    <x v="0"/>
    <s v="Mid Career"/>
    <s v="Male"/>
    <n v="1"/>
    <x v="2"/>
  </r>
  <r>
    <n v="455"/>
    <x v="3"/>
    <s v="iOS"/>
    <n v="143"/>
    <n v="3.9"/>
    <n v="1160"/>
    <n v="24"/>
    <n v="398"/>
    <n v="45"/>
    <x v="1"/>
    <s v="Mature Adults"/>
    <s v="Male"/>
    <n v="2"/>
    <x v="2"/>
  </r>
  <r>
    <n v="456"/>
    <x v="3"/>
    <s v="iOS"/>
    <n v="74"/>
    <n v="1.6"/>
    <n v="436"/>
    <n v="13"/>
    <n v="182"/>
    <n v="27"/>
    <x v="3"/>
    <s v="Early Career"/>
    <s v="Female"/>
    <n v="1"/>
    <x v="2"/>
  </r>
  <r>
    <n v="457"/>
    <x v="3"/>
    <s v="iOS"/>
    <n v="74"/>
    <n v="1.6"/>
    <n v="587"/>
    <n v="15"/>
    <n v="275"/>
    <n v="27"/>
    <x v="3"/>
    <s v="Early Career"/>
    <s v="Female"/>
    <n v="1"/>
    <x v="2"/>
  </r>
  <r>
    <n v="458"/>
    <x v="1"/>
    <s v="Android"/>
    <n v="234"/>
    <n v="4.7"/>
    <n v="1707"/>
    <n v="55"/>
    <n v="871"/>
    <n v="46"/>
    <x v="1"/>
    <s v="Mature Adults"/>
    <s v="Male"/>
    <n v="3"/>
    <x v="1"/>
  </r>
  <r>
    <n v="459"/>
    <x v="3"/>
    <s v="iOS"/>
    <n v="56"/>
    <n v="1"/>
    <n v="547"/>
    <n v="10"/>
    <n v="142"/>
    <n v="58"/>
    <x v="4"/>
    <s v="Pre-retirment"/>
    <s v="Female"/>
    <n v="1"/>
    <x v="2"/>
  </r>
  <r>
    <n v="460"/>
    <x v="1"/>
    <s v="Android"/>
    <n v="174"/>
    <n v="2.4"/>
    <n v="639"/>
    <n v="37"/>
    <n v="545"/>
    <n v="50"/>
    <x v="1"/>
    <s v="Mature Adults"/>
    <s v="Male"/>
    <n v="2"/>
    <x v="2"/>
  </r>
  <r>
    <n v="461"/>
    <x v="4"/>
    <s v="Android"/>
    <n v="523"/>
    <n v="9"/>
    <n v="2696"/>
    <n v="91"/>
    <n v="1561"/>
    <n v="20"/>
    <x v="2"/>
    <s v="Young Adults"/>
    <s v="Female"/>
    <n v="5"/>
    <x v="0"/>
  </r>
  <r>
    <n v="462"/>
    <x v="4"/>
    <s v="Android"/>
    <n v="123"/>
    <n v="3.3"/>
    <n v="938"/>
    <n v="36"/>
    <n v="438"/>
    <n v="55"/>
    <x v="4"/>
    <s v="Pre-retirment"/>
    <s v="Male"/>
    <n v="2"/>
    <x v="2"/>
  </r>
  <r>
    <n v="463"/>
    <x v="4"/>
    <s v="Android"/>
    <n v="216"/>
    <n v="5.9"/>
    <n v="1789"/>
    <n v="54"/>
    <n v="987"/>
    <n v="55"/>
    <x v="4"/>
    <s v="Pre-retirment"/>
    <s v="Male"/>
    <n v="3"/>
    <x v="1"/>
  </r>
  <r>
    <n v="464"/>
    <x v="3"/>
    <s v="iOS"/>
    <n v="290"/>
    <n v="4.5999999999999996"/>
    <n v="1694"/>
    <n v="50"/>
    <n v="809"/>
    <n v="23"/>
    <x v="2"/>
    <s v="Young Adults"/>
    <s v="Male"/>
    <n v="3"/>
    <x v="1"/>
  </r>
  <r>
    <n v="465"/>
    <x v="2"/>
    <s v="Android"/>
    <n v="68"/>
    <n v="1.3"/>
    <n v="583"/>
    <n v="10"/>
    <n v="281"/>
    <n v="26"/>
    <x v="3"/>
    <s v="Early Career"/>
    <s v="Female"/>
    <n v="1"/>
    <x v="2"/>
  </r>
  <r>
    <n v="466"/>
    <x v="1"/>
    <s v="Android"/>
    <n v="265"/>
    <n v="4.8"/>
    <n v="1770"/>
    <n v="51"/>
    <n v="723"/>
    <n v="55"/>
    <x v="4"/>
    <s v="Pre-retirment"/>
    <s v="Female"/>
    <n v="3"/>
    <x v="1"/>
  </r>
  <r>
    <n v="467"/>
    <x v="4"/>
    <s v="Android"/>
    <n v="414"/>
    <n v="7.3"/>
    <n v="2349"/>
    <n v="75"/>
    <n v="1092"/>
    <n v="51"/>
    <x v="1"/>
    <s v="Mature Adults"/>
    <s v="Male"/>
    <n v="4"/>
    <x v="0"/>
  </r>
  <r>
    <n v="468"/>
    <x v="0"/>
    <s v="Android"/>
    <n v="238"/>
    <n v="4"/>
    <n v="1414"/>
    <n v="47"/>
    <n v="661"/>
    <n v="41"/>
    <x v="0"/>
    <s v="Mid Career"/>
    <s v="Female"/>
    <n v="3"/>
    <x v="1"/>
  </r>
  <r>
    <n v="469"/>
    <x v="2"/>
    <s v="Android"/>
    <n v="429"/>
    <n v="7.5"/>
    <n v="1921"/>
    <n v="61"/>
    <n v="1102"/>
    <n v="46"/>
    <x v="1"/>
    <s v="Mature Adults"/>
    <s v="Male"/>
    <n v="4"/>
    <x v="0"/>
  </r>
  <r>
    <n v="470"/>
    <x v="2"/>
    <s v="Android"/>
    <n v="39"/>
    <n v="1.9"/>
    <n v="541"/>
    <n v="16"/>
    <n v="294"/>
    <n v="37"/>
    <x v="0"/>
    <s v="Mid Career"/>
    <s v="Male"/>
    <n v="1"/>
    <x v="2"/>
  </r>
  <r>
    <n v="471"/>
    <x v="4"/>
    <s v="Android"/>
    <n v="248"/>
    <n v="4.5999999999999996"/>
    <n v="1396"/>
    <n v="52"/>
    <n v="883"/>
    <n v="40"/>
    <x v="0"/>
    <s v="Mid Career"/>
    <s v="Male"/>
    <n v="3"/>
    <x v="1"/>
  </r>
  <r>
    <n v="472"/>
    <x v="2"/>
    <s v="Android"/>
    <n v="541"/>
    <n v="9.4"/>
    <n v="2452"/>
    <n v="93"/>
    <n v="1811"/>
    <n v="53"/>
    <x v="1"/>
    <s v="Mature Adults"/>
    <s v="Female"/>
    <n v="5"/>
    <x v="0"/>
  </r>
  <r>
    <n v="473"/>
    <x v="2"/>
    <s v="Android"/>
    <n v="139"/>
    <n v="3"/>
    <n v="697"/>
    <n v="37"/>
    <n v="513"/>
    <n v="26"/>
    <x v="3"/>
    <s v="Early Career"/>
    <s v="Female"/>
    <n v="2"/>
    <x v="2"/>
  </r>
  <r>
    <n v="474"/>
    <x v="3"/>
    <s v="iOS"/>
    <n v="289"/>
    <n v="5"/>
    <n v="1625"/>
    <n v="45"/>
    <n v="687"/>
    <n v="29"/>
    <x v="3"/>
    <s v="Early Career"/>
    <s v="Male"/>
    <n v="3"/>
    <x v="1"/>
  </r>
  <r>
    <n v="475"/>
    <x v="2"/>
    <s v="Android"/>
    <n v="210"/>
    <n v="4.9000000000000004"/>
    <n v="1657"/>
    <n v="55"/>
    <n v="765"/>
    <n v="49"/>
    <x v="1"/>
    <s v="Mature Adults"/>
    <s v="Female"/>
    <n v="3"/>
    <x v="1"/>
  </r>
  <r>
    <n v="476"/>
    <x v="4"/>
    <s v="Android"/>
    <n v="412"/>
    <n v="6.2"/>
    <n v="2201"/>
    <n v="68"/>
    <n v="1085"/>
    <n v="54"/>
    <x v="1"/>
    <s v="Mature Adults"/>
    <s v="Female"/>
    <n v="4"/>
    <x v="0"/>
  </r>
  <r>
    <n v="477"/>
    <x v="0"/>
    <s v="Android"/>
    <n v="318"/>
    <n v="6.6"/>
    <n v="2089"/>
    <n v="77"/>
    <n v="1126"/>
    <n v="49"/>
    <x v="1"/>
    <s v="Mature Adults"/>
    <s v="Female"/>
    <n v="4"/>
    <x v="0"/>
  </r>
  <r>
    <n v="478"/>
    <x v="3"/>
    <s v="iOS"/>
    <n v="258"/>
    <n v="4.2"/>
    <n v="1315"/>
    <n v="44"/>
    <n v="762"/>
    <n v="59"/>
    <x v="4"/>
    <s v="Pre-retirment"/>
    <s v="Female"/>
    <n v="3"/>
    <x v="1"/>
  </r>
  <r>
    <n v="479"/>
    <x v="1"/>
    <s v="Android"/>
    <n v="258"/>
    <n v="4.3"/>
    <n v="1759"/>
    <n v="59"/>
    <n v="718"/>
    <n v="41"/>
    <x v="0"/>
    <s v="Mid Career"/>
    <s v="Female"/>
    <n v="3"/>
    <x v="1"/>
  </r>
  <r>
    <n v="480"/>
    <x v="4"/>
    <s v="Android"/>
    <n v="189"/>
    <n v="4.8"/>
    <n v="1681"/>
    <n v="59"/>
    <n v="795"/>
    <n v="57"/>
    <x v="4"/>
    <s v="Pre-retirment"/>
    <s v="Male"/>
    <n v="3"/>
    <x v="1"/>
  </r>
  <r>
    <n v="481"/>
    <x v="3"/>
    <s v="iOS"/>
    <n v="155"/>
    <n v="2.4"/>
    <n v="954"/>
    <n v="39"/>
    <n v="441"/>
    <n v="51"/>
    <x v="1"/>
    <s v="Mature Adults"/>
    <s v="Male"/>
    <n v="2"/>
    <x v="2"/>
  </r>
  <r>
    <n v="482"/>
    <x v="4"/>
    <s v="Android"/>
    <n v="528"/>
    <n v="10.4"/>
    <n v="2717"/>
    <n v="87"/>
    <n v="2140"/>
    <n v="34"/>
    <x v="3"/>
    <s v="Early Career"/>
    <s v="Male"/>
    <n v="5"/>
    <x v="0"/>
  </r>
  <r>
    <n v="483"/>
    <x v="3"/>
    <s v="iOS"/>
    <n v="549"/>
    <n v="11.1"/>
    <n v="2851"/>
    <n v="87"/>
    <n v="1814"/>
    <n v="56"/>
    <x v="4"/>
    <s v="Pre-retirment"/>
    <s v="Male"/>
    <n v="5"/>
    <x v="0"/>
  </r>
  <r>
    <n v="484"/>
    <x v="2"/>
    <s v="Android"/>
    <n v="78"/>
    <n v="1.6"/>
    <n v="470"/>
    <n v="18"/>
    <n v="230"/>
    <n v="49"/>
    <x v="1"/>
    <s v="Mature Adults"/>
    <s v="Female"/>
    <n v="1"/>
    <x v="2"/>
  </r>
  <r>
    <n v="485"/>
    <x v="3"/>
    <s v="iOS"/>
    <n v="444"/>
    <n v="6"/>
    <n v="1873"/>
    <n v="61"/>
    <n v="1093"/>
    <n v="39"/>
    <x v="0"/>
    <s v="Mid Career"/>
    <s v="Female"/>
    <n v="4"/>
    <x v="0"/>
  </r>
  <r>
    <n v="486"/>
    <x v="2"/>
    <s v="Android"/>
    <n v="80"/>
    <n v="1.1000000000000001"/>
    <n v="417"/>
    <n v="18"/>
    <n v="298"/>
    <n v="36"/>
    <x v="0"/>
    <s v="Mid Career"/>
    <s v="Male"/>
    <n v="1"/>
    <x v="2"/>
  </r>
  <r>
    <n v="487"/>
    <x v="3"/>
    <s v="iOS"/>
    <n v="131"/>
    <n v="3.8"/>
    <n v="739"/>
    <n v="34"/>
    <n v="330"/>
    <n v="57"/>
    <x v="4"/>
    <s v="Pre-retirment"/>
    <s v="Female"/>
    <n v="2"/>
    <x v="2"/>
  </r>
  <r>
    <n v="488"/>
    <x v="3"/>
    <s v="iOS"/>
    <n v="228"/>
    <n v="4.4000000000000004"/>
    <n v="1734"/>
    <n v="46"/>
    <n v="804"/>
    <n v="57"/>
    <x v="4"/>
    <s v="Pre-retirment"/>
    <s v="Female"/>
    <n v="3"/>
    <x v="1"/>
  </r>
  <r>
    <n v="489"/>
    <x v="2"/>
    <s v="Android"/>
    <n v="416"/>
    <n v="7.3"/>
    <n v="1882"/>
    <n v="62"/>
    <n v="1333"/>
    <n v="32"/>
    <x v="3"/>
    <s v="Early Career"/>
    <s v="Female"/>
    <n v="4"/>
    <x v="0"/>
  </r>
  <r>
    <n v="490"/>
    <x v="0"/>
    <s v="Android"/>
    <n v="586"/>
    <n v="9.3000000000000007"/>
    <n v="2403"/>
    <n v="94"/>
    <n v="2332"/>
    <n v="21"/>
    <x v="2"/>
    <s v="Young Adults"/>
    <s v="Male"/>
    <n v="5"/>
    <x v="0"/>
  </r>
  <r>
    <n v="491"/>
    <x v="0"/>
    <s v="Android"/>
    <n v="416"/>
    <n v="6.1"/>
    <n v="2279"/>
    <n v="71"/>
    <n v="1096"/>
    <n v="47"/>
    <x v="1"/>
    <s v="Mature Adults"/>
    <s v="Male"/>
    <n v="4"/>
    <x v="0"/>
  </r>
  <r>
    <n v="492"/>
    <x v="3"/>
    <s v="iOS"/>
    <n v="152"/>
    <n v="3.7"/>
    <n v="948"/>
    <n v="22"/>
    <n v="507"/>
    <n v="53"/>
    <x v="1"/>
    <s v="Mature Adults"/>
    <s v="Female"/>
    <n v="2"/>
    <x v="2"/>
  </r>
  <r>
    <n v="493"/>
    <x v="2"/>
    <s v="Android"/>
    <n v="87"/>
    <n v="1.5"/>
    <n v="594"/>
    <n v="19"/>
    <n v="198"/>
    <n v="36"/>
    <x v="0"/>
    <s v="Mid Career"/>
    <s v="Female"/>
    <n v="1"/>
    <x v="2"/>
  </r>
  <r>
    <n v="494"/>
    <x v="1"/>
    <s v="Android"/>
    <n v="329"/>
    <n v="6.8"/>
    <n v="1892"/>
    <n v="69"/>
    <n v="1383"/>
    <n v="23"/>
    <x v="2"/>
    <s v="Young Adults"/>
    <s v="Male"/>
    <n v="4"/>
    <x v="0"/>
  </r>
  <r>
    <n v="495"/>
    <x v="4"/>
    <s v="Android"/>
    <n v="107"/>
    <n v="2.5"/>
    <n v="1176"/>
    <n v="24"/>
    <n v="545"/>
    <n v="29"/>
    <x v="3"/>
    <s v="Early Career"/>
    <s v="Female"/>
    <n v="2"/>
    <x v="2"/>
  </r>
  <r>
    <n v="496"/>
    <x v="0"/>
    <s v="Android"/>
    <n v="493"/>
    <n v="10.9"/>
    <n v="2928"/>
    <n v="88"/>
    <n v="2116"/>
    <n v="57"/>
    <x v="4"/>
    <s v="Pre-retirment"/>
    <s v="Male"/>
    <n v="5"/>
    <x v="0"/>
  </r>
  <r>
    <n v="497"/>
    <x v="3"/>
    <s v="iOS"/>
    <n v="182"/>
    <n v="4.8"/>
    <n v="1500"/>
    <n v="51"/>
    <n v="807"/>
    <n v="43"/>
    <x v="0"/>
    <s v="Mid Career"/>
    <s v="Female"/>
    <n v="3"/>
    <x v="1"/>
  </r>
  <r>
    <n v="498"/>
    <x v="3"/>
    <s v="iOS"/>
    <n v="102"/>
    <n v="2.9"/>
    <n v="918"/>
    <n v="37"/>
    <n v="362"/>
    <n v="20"/>
    <x v="2"/>
    <s v="Young Adults"/>
    <s v="Female"/>
    <n v="2"/>
    <x v="2"/>
  </r>
  <r>
    <n v="499"/>
    <x v="0"/>
    <s v="Android"/>
    <n v="274"/>
    <n v="4.5"/>
    <n v="1356"/>
    <n v="54"/>
    <n v="869"/>
    <n v="53"/>
    <x v="1"/>
    <s v="Mature Adults"/>
    <s v="Male"/>
    <n v="3"/>
    <x v="1"/>
  </r>
  <r>
    <n v="500"/>
    <x v="3"/>
    <s v="iOS"/>
    <n v="143"/>
    <n v="3.6"/>
    <n v="988"/>
    <n v="26"/>
    <n v="504"/>
    <n v="45"/>
    <x v="1"/>
    <s v="Mature Adults"/>
    <s v="Female"/>
    <n v="2"/>
    <x v="2"/>
  </r>
  <r>
    <n v="501"/>
    <x v="0"/>
    <s v="Android"/>
    <n v="66"/>
    <n v="1.3"/>
    <n v="369"/>
    <n v="14"/>
    <n v="195"/>
    <n v="32"/>
    <x v="3"/>
    <s v="Early Career"/>
    <s v="Male"/>
    <n v="1"/>
    <x v="2"/>
  </r>
  <r>
    <n v="502"/>
    <x v="2"/>
    <s v="Android"/>
    <n v="420"/>
    <n v="7.7"/>
    <n v="2017"/>
    <n v="74"/>
    <n v="1187"/>
    <n v="24"/>
    <x v="2"/>
    <s v="Young Adults"/>
    <s v="Female"/>
    <n v="4"/>
    <x v="0"/>
  </r>
  <r>
    <n v="503"/>
    <x v="2"/>
    <s v="Android"/>
    <n v="582"/>
    <n v="8.4"/>
    <n v="2664"/>
    <n v="91"/>
    <n v="2493"/>
    <n v="55"/>
    <x v="4"/>
    <s v="Pre-retirment"/>
    <s v="Female"/>
    <n v="5"/>
    <x v="0"/>
  </r>
  <r>
    <n v="504"/>
    <x v="0"/>
    <s v="Android"/>
    <n v="200"/>
    <n v="5.8"/>
    <n v="1291"/>
    <n v="50"/>
    <n v="965"/>
    <n v="52"/>
    <x v="1"/>
    <s v="Mature Adults"/>
    <s v="Male"/>
    <n v="3"/>
    <x v="1"/>
  </r>
  <r>
    <n v="505"/>
    <x v="0"/>
    <s v="Android"/>
    <n v="493"/>
    <n v="8.5"/>
    <n v="2859"/>
    <n v="99"/>
    <n v="2450"/>
    <n v="47"/>
    <x v="1"/>
    <s v="Mature Adults"/>
    <s v="Male"/>
    <n v="5"/>
    <x v="0"/>
  </r>
  <r>
    <n v="506"/>
    <x v="4"/>
    <s v="Android"/>
    <n v="348"/>
    <n v="6.6"/>
    <n v="2398"/>
    <n v="66"/>
    <n v="1415"/>
    <n v="49"/>
    <x v="1"/>
    <s v="Mature Adults"/>
    <s v="Female"/>
    <n v="4"/>
    <x v="0"/>
  </r>
  <r>
    <n v="507"/>
    <x v="2"/>
    <s v="Android"/>
    <n v="238"/>
    <n v="5.0999999999999996"/>
    <n v="1408"/>
    <n v="45"/>
    <n v="941"/>
    <n v="27"/>
    <x v="3"/>
    <s v="Early Career"/>
    <s v="Male"/>
    <n v="3"/>
    <x v="1"/>
  </r>
  <r>
    <n v="508"/>
    <x v="2"/>
    <s v="Android"/>
    <n v="33"/>
    <n v="2"/>
    <n v="318"/>
    <n v="11"/>
    <n v="173"/>
    <n v="42"/>
    <x v="0"/>
    <s v="Mid Career"/>
    <s v="Female"/>
    <n v="1"/>
    <x v="2"/>
  </r>
  <r>
    <n v="509"/>
    <x v="0"/>
    <s v="Android"/>
    <n v="267"/>
    <n v="5.9"/>
    <n v="1740"/>
    <n v="45"/>
    <n v="791"/>
    <n v="22"/>
    <x v="2"/>
    <s v="Young Adults"/>
    <s v="Male"/>
    <n v="3"/>
    <x v="1"/>
  </r>
  <r>
    <n v="510"/>
    <x v="3"/>
    <s v="iOS"/>
    <n v="492"/>
    <n v="10"/>
    <n v="2513"/>
    <n v="90"/>
    <n v="1968"/>
    <n v="31"/>
    <x v="3"/>
    <s v="Early Career"/>
    <s v="Male"/>
    <n v="5"/>
    <x v="0"/>
  </r>
  <r>
    <n v="511"/>
    <x v="0"/>
    <s v="Android"/>
    <n v="241"/>
    <n v="5.3"/>
    <n v="1767"/>
    <n v="58"/>
    <n v="976"/>
    <n v="38"/>
    <x v="0"/>
    <s v="Mid Career"/>
    <s v="Female"/>
    <n v="3"/>
    <x v="1"/>
  </r>
  <r>
    <n v="512"/>
    <x v="4"/>
    <s v="Android"/>
    <n v="567"/>
    <n v="10.8"/>
    <n v="2911"/>
    <n v="89"/>
    <n v="1682"/>
    <n v="39"/>
    <x v="0"/>
    <s v="Mid Career"/>
    <s v="Male"/>
    <n v="5"/>
    <x v="0"/>
  </r>
  <r>
    <n v="513"/>
    <x v="4"/>
    <s v="Android"/>
    <n v="36"/>
    <n v="1.6"/>
    <n v="442"/>
    <n v="17"/>
    <n v="249"/>
    <n v="34"/>
    <x v="3"/>
    <s v="Early Career"/>
    <s v="Male"/>
    <n v="1"/>
    <x v="2"/>
  </r>
  <r>
    <n v="514"/>
    <x v="1"/>
    <s v="Android"/>
    <n v="110"/>
    <n v="3.4"/>
    <n v="975"/>
    <n v="31"/>
    <n v="507"/>
    <n v="57"/>
    <x v="4"/>
    <s v="Pre-retirment"/>
    <s v="Female"/>
    <n v="2"/>
    <x v="2"/>
  </r>
  <r>
    <n v="515"/>
    <x v="4"/>
    <s v="Android"/>
    <n v="466"/>
    <n v="7.1"/>
    <n v="1984"/>
    <n v="73"/>
    <n v="1461"/>
    <n v="54"/>
    <x v="1"/>
    <s v="Mature Adults"/>
    <s v="Male"/>
    <n v="4"/>
    <x v="0"/>
  </r>
  <r>
    <n v="516"/>
    <x v="1"/>
    <s v="Android"/>
    <n v="126"/>
    <n v="2.2000000000000002"/>
    <n v="1187"/>
    <n v="28"/>
    <n v="599"/>
    <n v="25"/>
    <x v="3"/>
    <s v="Early Career"/>
    <s v="Male"/>
    <n v="2"/>
    <x v="2"/>
  </r>
  <r>
    <n v="517"/>
    <x v="2"/>
    <s v="Android"/>
    <n v="120"/>
    <n v="3.8"/>
    <n v="940"/>
    <n v="36"/>
    <n v="535"/>
    <n v="44"/>
    <x v="0"/>
    <s v="Mid Career"/>
    <s v="Male"/>
    <n v="2"/>
    <x v="2"/>
  </r>
  <r>
    <n v="518"/>
    <x v="3"/>
    <s v="iOS"/>
    <n v="64"/>
    <n v="1.2"/>
    <n v="592"/>
    <n v="19"/>
    <n v="218"/>
    <n v="25"/>
    <x v="3"/>
    <s v="Early Career"/>
    <s v="Male"/>
    <n v="1"/>
    <x v="2"/>
  </r>
  <r>
    <n v="519"/>
    <x v="1"/>
    <s v="Android"/>
    <n v="574"/>
    <n v="8.5"/>
    <n v="2780"/>
    <n v="87"/>
    <n v="1809"/>
    <n v="34"/>
    <x v="3"/>
    <s v="Early Career"/>
    <s v="Female"/>
    <n v="5"/>
    <x v="0"/>
  </r>
  <r>
    <n v="520"/>
    <x v="1"/>
    <s v="Android"/>
    <n v="119"/>
    <n v="2.2000000000000002"/>
    <n v="1123"/>
    <n v="22"/>
    <n v="371"/>
    <n v="51"/>
    <x v="1"/>
    <s v="Mature Adults"/>
    <s v="Male"/>
    <n v="2"/>
    <x v="2"/>
  </r>
  <r>
    <n v="521"/>
    <x v="1"/>
    <s v="Android"/>
    <n v="350"/>
    <n v="6.5"/>
    <n v="2364"/>
    <n v="75"/>
    <n v="1485"/>
    <n v="20"/>
    <x v="2"/>
    <s v="Young Adults"/>
    <s v="Male"/>
    <n v="4"/>
    <x v="0"/>
  </r>
  <r>
    <n v="522"/>
    <x v="0"/>
    <s v="Android"/>
    <n v="69"/>
    <n v="1.1000000000000001"/>
    <n v="535"/>
    <n v="17"/>
    <n v="250"/>
    <n v="25"/>
    <x v="3"/>
    <s v="Early Career"/>
    <s v="Male"/>
    <n v="1"/>
    <x v="2"/>
  </r>
  <r>
    <n v="523"/>
    <x v="2"/>
    <s v="Android"/>
    <n v="438"/>
    <n v="6.5"/>
    <n v="1849"/>
    <n v="64"/>
    <n v="1125"/>
    <n v="49"/>
    <x v="1"/>
    <s v="Mature Adults"/>
    <s v="Female"/>
    <n v="4"/>
    <x v="0"/>
  </r>
  <r>
    <n v="524"/>
    <x v="4"/>
    <s v="Android"/>
    <n v="506"/>
    <n v="11.2"/>
    <n v="2623"/>
    <n v="98"/>
    <n v="2460"/>
    <n v="48"/>
    <x v="1"/>
    <s v="Mature Adults"/>
    <s v="Male"/>
    <n v="5"/>
    <x v="0"/>
  </r>
  <r>
    <n v="525"/>
    <x v="4"/>
    <s v="Android"/>
    <n v="272"/>
    <n v="5.2"/>
    <n v="1390"/>
    <n v="45"/>
    <n v="792"/>
    <n v="57"/>
    <x v="4"/>
    <s v="Pre-retirment"/>
    <s v="Female"/>
    <n v="3"/>
    <x v="1"/>
  </r>
  <r>
    <n v="526"/>
    <x v="4"/>
    <s v="Android"/>
    <n v="224"/>
    <n v="4.5"/>
    <n v="1646"/>
    <n v="57"/>
    <n v="665"/>
    <n v="59"/>
    <x v="4"/>
    <s v="Pre-retirment"/>
    <s v="Male"/>
    <n v="3"/>
    <x v="1"/>
  </r>
  <r>
    <n v="527"/>
    <x v="0"/>
    <s v="Android"/>
    <n v="99"/>
    <n v="2.4"/>
    <n v="689"/>
    <n v="36"/>
    <n v="318"/>
    <n v="29"/>
    <x v="3"/>
    <s v="Early Career"/>
    <s v="Female"/>
    <n v="2"/>
    <x v="2"/>
  </r>
  <r>
    <n v="528"/>
    <x v="3"/>
    <s v="iOS"/>
    <n v="44"/>
    <n v="1.2"/>
    <n v="466"/>
    <n v="10"/>
    <n v="131"/>
    <n v="57"/>
    <x v="4"/>
    <s v="Pre-retirment"/>
    <s v="Female"/>
    <n v="1"/>
    <x v="2"/>
  </r>
  <r>
    <n v="529"/>
    <x v="0"/>
    <s v="Android"/>
    <n v="175"/>
    <n v="3"/>
    <n v="801"/>
    <n v="32"/>
    <n v="338"/>
    <n v="24"/>
    <x v="2"/>
    <s v="Young Adults"/>
    <s v="Male"/>
    <n v="2"/>
    <x v="2"/>
  </r>
  <r>
    <n v="530"/>
    <x v="0"/>
    <s v="Android"/>
    <n v="228"/>
    <n v="4.8"/>
    <n v="1639"/>
    <n v="47"/>
    <n v="796"/>
    <n v="42"/>
    <x v="0"/>
    <s v="Mid Career"/>
    <s v="Female"/>
    <n v="3"/>
    <x v="1"/>
  </r>
  <r>
    <n v="531"/>
    <x v="2"/>
    <s v="Android"/>
    <n v="589"/>
    <n v="11.8"/>
    <n v="2629"/>
    <n v="86"/>
    <n v="2479"/>
    <n v="43"/>
    <x v="0"/>
    <s v="Mid Career"/>
    <s v="Female"/>
    <n v="5"/>
    <x v="0"/>
  </r>
  <r>
    <n v="532"/>
    <x v="1"/>
    <s v="Android"/>
    <n v="339"/>
    <n v="7.9"/>
    <n v="1987"/>
    <n v="66"/>
    <n v="1191"/>
    <n v="47"/>
    <x v="1"/>
    <s v="Mature Adults"/>
    <s v="Male"/>
    <n v="4"/>
    <x v="0"/>
  </r>
  <r>
    <n v="533"/>
    <x v="3"/>
    <s v="iOS"/>
    <n v="431"/>
    <n v="6.4"/>
    <n v="2206"/>
    <n v="66"/>
    <n v="1200"/>
    <n v="23"/>
    <x v="2"/>
    <s v="Young Adults"/>
    <s v="Female"/>
    <n v="4"/>
    <x v="0"/>
  </r>
  <r>
    <n v="534"/>
    <x v="2"/>
    <s v="Android"/>
    <n v="190"/>
    <n v="4.7"/>
    <n v="1276"/>
    <n v="57"/>
    <n v="915"/>
    <n v="22"/>
    <x v="2"/>
    <s v="Young Adults"/>
    <s v="Female"/>
    <n v="3"/>
    <x v="1"/>
  </r>
  <r>
    <n v="535"/>
    <x v="1"/>
    <s v="Android"/>
    <n v="389"/>
    <n v="6.1"/>
    <n v="2087"/>
    <n v="67"/>
    <n v="1383"/>
    <n v="30"/>
    <x v="3"/>
    <s v="Early Career"/>
    <s v="Male"/>
    <n v="4"/>
    <x v="0"/>
  </r>
  <r>
    <n v="536"/>
    <x v="4"/>
    <s v="Android"/>
    <n v="139"/>
    <n v="3.3"/>
    <n v="937"/>
    <n v="24"/>
    <n v="573"/>
    <n v="25"/>
    <x v="3"/>
    <s v="Early Career"/>
    <s v="Female"/>
    <n v="2"/>
    <x v="2"/>
  </r>
  <r>
    <n v="537"/>
    <x v="4"/>
    <s v="Android"/>
    <n v="289"/>
    <n v="5.9"/>
    <n v="1528"/>
    <n v="48"/>
    <n v="915"/>
    <n v="30"/>
    <x v="3"/>
    <s v="Early Career"/>
    <s v="Male"/>
    <n v="3"/>
    <x v="1"/>
  </r>
  <r>
    <n v="538"/>
    <x v="4"/>
    <s v="Android"/>
    <n v="593"/>
    <n v="11.1"/>
    <n v="2672"/>
    <n v="82"/>
    <n v="2258"/>
    <n v="34"/>
    <x v="3"/>
    <s v="Early Career"/>
    <s v="Female"/>
    <n v="5"/>
    <x v="0"/>
  </r>
  <r>
    <n v="539"/>
    <x v="0"/>
    <s v="Android"/>
    <n v="576"/>
    <n v="9.5"/>
    <n v="2638"/>
    <n v="98"/>
    <n v="2281"/>
    <n v="38"/>
    <x v="0"/>
    <s v="Mid Career"/>
    <s v="Female"/>
    <n v="5"/>
    <x v="0"/>
  </r>
  <r>
    <n v="540"/>
    <x v="1"/>
    <s v="Android"/>
    <n v="592"/>
    <n v="9.4"/>
    <n v="2867"/>
    <n v="95"/>
    <n v="1701"/>
    <n v="27"/>
    <x v="3"/>
    <s v="Early Career"/>
    <s v="Female"/>
    <n v="5"/>
    <x v="0"/>
  </r>
  <r>
    <n v="541"/>
    <x v="3"/>
    <s v="iOS"/>
    <n v="567"/>
    <n v="10.5"/>
    <n v="2817"/>
    <n v="89"/>
    <n v="2194"/>
    <n v="52"/>
    <x v="1"/>
    <s v="Mature Adults"/>
    <s v="Male"/>
    <n v="5"/>
    <x v="0"/>
  </r>
  <r>
    <n v="542"/>
    <x v="3"/>
    <s v="iOS"/>
    <n v="170"/>
    <n v="2.5"/>
    <n v="740"/>
    <n v="21"/>
    <n v="537"/>
    <n v="25"/>
    <x v="3"/>
    <s v="Early Career"/>
    <s v="Female"/>
    <n v="2"/>
    <x v="2"/>
  </r>
  <r>
    <n v="543"/>
    <x v="0"/>
    <s v="Android"/>
    <n v="242"/>
    <n v="5.4"/>
    <n v="1307"/>
    <n v="48"/>
    <n v="642"/>
    <n v="28"/>
    <x v="3"/>
    <s v="Early Career"/>
    <s v="Male"/>
    <n v="3"/>
    <x v="1"/>
  </r>
  <r>
    <n v="544"/>
    <x v="4"/>
    <s v="Android"/>
    <n v="275"/>
    <n v="5.5"/>
    <n v="1616"/>
    <n v="48"/>
    <n v="656"/>
    <n v="55"/>
    <x v="4"/>
    <s v="Pre-retirment"/>
    <s v="Male"/>
    <n v="3"/>
    <x v="1"/>
  </r>
  <r>
    <n v="545"/>
    <x v="0"/>
    <s v="Android"/>
    <n v="544"/>
    <n v="9.6999999999999993"/>
    <n v="2633"/>
    <n v="97"/>
    <n v="1727"/>
    <n v="28"/>
    <x v="3"/>
    <s v="Early Career"/>
    <s v="Female"/>
    <n v="5"/>
    <x v="0"/>
  </r>
  <r>
    <n v="546"/>
    <x v="1"/>
    <s v="Android"/>
    <n v="50"/>
    <n v="2"/>
    <n v="362"/>
    <n v="17"/>
    <n v="182"/>
    <n v="34"/>
    <x v="3"/>
    <s v="Early Career"/>
    <s v="Female"/>
    <n v="1"/>
    <x v="2"/>
  </r>
  <r>
    <n v="547"/>
    <x v="1"/>
    <s v="Android"/>
    <n v="236"/>
    <n v="4.5999999999999996"/>
    <n v="1750"/>
    <n v="45"/>
    <n v="971"/>
    <n v="21"/>
    <x v="2"/>
    <s v="Young Adults"/>
    <s v="Female"/>
    <n v="3"/>
    <x v="1"/>
  </r>
  <r>
    <n v="548"/>
    <x v="3"/>
    <s v="iOS"/>
    <n v="139"/>
    <n v="2.6"/>
    <n v="658"/>
    <n v="33"/>
    <n v="358"/>
    <n v="58"/>
    <x v="4"/>
    <s v="Pre-retirment"/>
    <s v="Female"/>
    <n v="2"/>
    <x v="2"/>
  </r>
  <r>
    <n v="549"/>
    <x v="0"/>
    <s v="Android"/>
    <n v="383"/>
    <n v="6.6"/>
    <n v="2155"/>
    <n v="74"/>
    <n v="1360"/>
    <n v="45"/>
    <x v="1"/>
    <s v="Mature Adults"/>
    <s v="Male"/>
    <n v="4"/>
    <x v="0"/>
  </r>
  <r>
    <n v="550"/>
    <x v="4"/>
    <s v="Android"/>
    <n v="172"/>
    <n v="4"/>
    <n v="1047"/>
    <n v="32"/>
    <n v="508"/>
    <n v="21"/>
    <x v="2"/>
    <s v="Young Adults"/>
    <s v="Female"/>
    <n v="2"/>
    <x v="2"/>
  </r>
  <r>
    <n v="551"/>
    <x v="2"/>
    <s v="Android"/>
    <n v="455"/>
    <n v="6.2"/>
    <n v="1984"/>
    <n v="72"/>
    <n v="1287"/>
    <n v="42"/>
    <x v="0"/>
    <s v="Mid Career"/>
    <s v="Male"/>
    <n v="4"/>
    <x v="0"/>
  </r>
  <r>
    <n v="552"/>
    <x v="4"/>
    <s v="Android"/>
    <n v="157"/>
    <n v="2.5"/>
    <n v="1110"/>
    <n v="30"/>
    <n v="373"/>
    <n v="37"/>
    <x v="0"/>
    <s v="Mid Career"/>
    <s v="Female"/>
    <n v="2"/>
    <x v="2"/>
  </r>
  <r>
    <n v="553"/>
    <x v="3"/>
    <s v="iOS"/>
    <n v="173"/>
    <n v="3.8"/>
    <n v="605"/>
    <n v="23"/>
    <n v="583"/>
    <n v="32"/>
    <x v="3"/>
    <s v="Early Career"/>
    <s v="Male"/>
    <n v="2"/>
    <x v="2"/>
  </r>
  <r>
    <n v="554"/>
    <x v="4"/>
    <s v="Android"/>
    <n v="405"/>
    <n v="7.3"/>
    <n v="2082"/>
    <n v="75"/>
    <n v="1162"/>
    <n v="37"/>
    <x v="0"/>
    <s v="Mid Career"/>
    <s v="Female"/>
    <n v="4"/>
    <x v="0"/>
  </r>
  <r>
    <n v="555"/>
    <x v="3"/>
    <s v="iOS"/>
    <n v="387"/>
    <n v="6.6"/>
    <n v="2168"/>
    <n v="61"/>
    <n v="1246"/>
    <n v="19"/>
    <x v="2"/>
    <s v="Young Adults"/>
    <s v="Female"/>
    <n v="4"/>
    <x v="0"/>
  </r>
  <r>
    <n v="556"/>
    <x v="2"/>
    <s v="Android"/>
    <n v="201"/>
    <n v="4.9000000000000004"/>
    <n v="1633"/>
    <n v="41"/>
    <n v="972"/>
    <n v="32"/>
    <x v="3"/>
    <s v="Early Career"/>
    <s v="Female"/>
    <n v="3"/>
    <x v="1"/>
  </r>
  <r>
    <n v="557"/>
    <x v="3"/>
    <s v="iOS"/>
    <n v="142"/>
    <n v="3.5"/>
    <n v="625"/>
    <n v="25"/>
    <n v="370"/>
    <n v="40"/>
    <x v="0"/>
    <s v="Mid Career"/>
    <s v="Female"/>
    <n v="2"/>
    <x v="2"/>
  </r>
  <r>
    <n v="558"/>
    <x v="4"/>
    <s v="Android"/>
    <n v="198"/>
    <n v="4.2"/>
    <n v="1392"/>
    <n v="43"/>
    <n v="640"/>
    <n v="27"/>
    <x v="3"/>
    <s v="Early Career"/>
    <s v="Male"/>
    <n v="3"/>
    <x v="1"/>
  </r>
  <r>
    <n v="559"/>
    <x v="0"/>
    <s v="Android"/>
    <n v="361"/>
    <n v="7.6"/>
    <n v="2037"/>
    <n v="65"/>
    <n v="1056"/>
    <n v="55"/>
    <x v="4"/>
    <s v="Pre-retirment"/>
    <s v="Male"/>
    <n v="4"/>
    <x v="0"/>
  </r>
  <r>
    <n v="560"/>
    <x v="1"/>
    <s v="Android"/>
    <n v="553"/>
    <n v="11.6"/>
    <n v="2914"/>
    <n v="81"/>
    <n v="1860"/>
    <n v="47"/>
    <x v="1"/>
    <s v="Mature Adults"/>
    <s v="Male"/>
    <n v="5"/>
    <x v="0"/>
  </r>
  <r>
    <n v="561"/>
    <x v="4"/>
    <s v="Android"/>
    <n v="408"/>
    <n v="6.2"/>
    <n v="2245"/>
    <n v="69"/>
    <n v="1103"/>
    <n v="38"/>
    <x v="0"/>
    <s v="Mid Career"/>
    <s v="Female"/>
    <n v="4"/>
    <x v="0"/>
  </r>
  <r>
    <n v="562"/>
    <x v="2"/>
    <s v="Android"/>
    <n v="121"/>
    <n v="2.1"/>
    <n v="1188"/>
    <n v="21"/>
    <n v="578"/>
    <n v="18"/>
    <x v="2"/>
    <s v="Young Adults"/>
    <s v="Male"/>
    <n v="2"/>
    <x v="2"/>
  </r>
  <r>
    <n v="563"/>
    <x v="0"/>
    <s v="Android"/>
    <n v="71"/>
    <n v="1.4"/>
    <n v="508"/>
    <n v="15"/>
    <n v="265"/>
    <n v="33"/>
    <x v="3"/>
    <s v="Early Career"/>
    <s v="Female"/>
    <n v="1"/>
    <x v="2"/>
  </r>
  <r>
    <n v="564"/>
    <x v="3"/>
    <s v="iOS"/>
    <n v="46"/>
    <n v="1.6"/>
    <n v="440"/>
    <n v="10"/>
    <n v="265"/>
    <n v="31"/>
    <x v="3"/>
    <s v="Early Career"/>
    <s v="Male"/>
    <n v="1"/>
    <x v="2"/>
  </r>
  <r>
    <n v="565"/>
    <x v="2"/>
    <s v="Android"/>
    <n v="290"/>
    <n v="4.4000000000000004"/>
    <n v="1272"/>
    <n v="55"/>
    <n v="910"/>
    <n v="44"/>
    <x v="0"/>
    <s v="Mid Career"/>
    <s v="Male"/>
    <n v="3"/>
    <x v="1"/>
  </r>
  <r>
    <n v="566"/>
    <x v="4"/>
    <s v="Android"/>
    <n v="60"/>
    <n v="1.3"/>
    <n v="462"/>
    <n v="15"/>
    <n v="296"/>
    <n v="40"/>
    <x v="0"/>
    <s v="Mid Career"/>
    <s v="Male"/>
    <n v="1"/>
    <x v="2"/>
  </r>
  <r>
    <n v="567"/>
    <x v="0"/>
    <s v="Android"/>
    <n v="116"/>
    <n v="3.9"/>
    <n v="1132"/>
    <n v="26"/>
    <n v="498"/>
    <n v="35"/>
    <x v="0"/>
    <s v="Mid Career"/>
    <s v="Female"/>
    <n v="2"/>
    <x v="2"/>
  </r>
  <r>
    <n v="568"/>
    <x v="1"/>
    <s v="Android"/>
    <n v="86"/>
    <n v="1.7"/>
    <n v="312"/>
    <n v="16"/>
    <n v="227"/>
    <n v="32"/>
    <x v="3"/>
    <s v="Early Career"/>
    <s v="Male"/>
    <n v="1"/>
    <x v="2"/>
  </r>
  <r>
    <n v="569"/>
    <x v="0"/>
    <s v="Android"/>
    <n v="291"/>
    <n v="5.3"/>
    <n v="1537"/>
    <n v="43"/>
    <n v="700"/>
    <n v="49"/>
    <x v="1"/>
    <s v="Mature Adults"/>
    <s v="Female"/>
    <n v="3"/>
    <x v="1"/>
  </r>
  <r>
    <n v="570"/>
    <x v="0"/>
    <s v="Android"/>
    <n v="404"/>
    <n v="6.6"/>
    <n v="2181"/>
    <n v="77"/>
    <n v="1327"/>
    <n v="18"/>
    <x v="2"/>
    <s v="Young Adults"/>
    <s v="Male"/>
    <n v="4"/>
    <x v="0"/>
  </r>
  <r>
    <n v="571"/>
    <x v="1"/>
    <s v="Android"/>
    <n v="441"/>
    <n v="7.1"/>
    <n v="1928"/>
    <n v="74"/>
    <n v="1421"/>
    <n v="57"/>
    <x v="4"/>
    <s v="Pre-retirment"/>
    <s v="Male"/>
    <n v="4"/>
    <x v="0"/>
  </r>
  <r>
    <n v="572"/>
    <x v="0"/>
    <s v="Android"/>
    <n v="444"/>
    <n v="6.1"/>
    <n v="2229"/>
    <n v="73"/>
    <n v="1194"/>
    <n v="25"/>
    <x v="3"/>
    <s v="Early Career"/>
    <s v="Female"/>
    <n v="4"/>
    <x v="0"/>
  </r>
  <r>
    <n v="573"/>
    <x v="1"/>
    <s v="Android"/>
    <n v="211"/>
    <n v="5.9"/>
    <n v="1757"/>
    <n v="42"/>
    <n v="864"/>
    <n v="56"/>
    <x v="4"/>
    <s v="Pre-retirment"/>
    <s v="Female"/>
    <n v="3"/>
    <x v="1"/>
  </r>
  <r>
    <n v="574"/>
    <x v="4"/>
    <s v="Android"/>
    <n v="537"/>
    <n v="9.1"/>
    <n v="2858"/>
    <n v="86"/>
    <n v="2158"/>
    <n v="22"/>
    <x v="2"/>
    <s v="Young Adults"/>
    <s v="Male"/>
    <n v="5"/>
    <x v="0"/>
  </r>
  <r>
    <n v="575"/>
    <x v="2"/>
    <s v="Android"/>
    <n v="519"/>
    <n v="10.9"/>
    <n v="2571"/>
    <n v="93"/>
    <n v="2163"/>
    <n v="47"/>
    <x v="1"/>
    <s v="Mature Adults"/>
    <s v="Female"/>
    <n v="5"/>
    <x v="0"/>
  </r>
  <r>
    <n v="576"/>
    <x v="4"/>
    <s v="Android"/>
    <n v="94"/>
    <n v="3.5"/>
    <n v="606"/>
    <n v="30"/>
    <n v="446"/>
    <n v="49"/>
    <x v="1"/>
    <s v="Mature Adults"/>
    <s v="Male"/>
    <n v="2"/>
    <x v="2"/>
  </r>
  <r>
    <n v="577"/>
    <x v="0"/>
    <s v="Android"/>
    <n v="554"/>
    <n v="10.3"/>
    <n v="2776"/>
    <n v="83"/>
    <n v="1606"/>
    <n v="34"/>
    <x v="3"/>
    <s v="Early Career"/>
    <s v="Female"/>
    <n v="5"/>
    <x v="0"/>
  </r>
  <r>
    <n v="578"/>
    <x v="3"/>
    <s v="iOS"/>
    <n v="381"/>
    <n v="7.5"/>
    <n v="2216"/>
    <n v="66"/>
    <n v="1291"/>
    <n v="37"/>
    <x v="0"/>
    <s v="Mid Career"/>
    <s v="Female"/>
    <n v="4"/>
    <x v="0"/>
  </r>
  <r>
    <n v="579"/>
    <x v="1"/>
    <s v="Android"/>
    <n v="257"/>
    <n v="6"/>
    <n v="1715"/>
    <n v="49"/>
    <n v="916"/>
    <n v="40"/>
    <x v="0"/>
    <s v="Mid Career"/>
    <s v="Female"/>
    <n v="3"/>
    <x v="1"/>
  </r>
  <r>
    <n v="580"/>
    <x v="4"/>
    <s v="Android"/>
    <n v="47"/>
    <n v="1.1000000000000001"/>
    <n v="532"/>
    <n v="18"/>
    <n v="122"/>
    <n v="36"/>
    <x v="0"/>
    <s v="Mid Career"/>
    <s v="Male"/>
    <n v="1"/>
    <x v="2"/>
  </r>
  <r>
    <n v="581"/>
    <x v="3"/>
    <s v="iOS"/>
    <n v="527"/>
    <n v="10"/>
    <n v="2430"/>
    <n v="82"/>
    <n v="1737"/>
    <n v="27"/>
    <x v="3"/>
    <s v="Early Career"/>
    <s v="Female"/>
    <n v="5"/>
    <x v="0"/>
  </r>
  <r>
    <n v="582"/>
    <x v="4"/>
    <s v="Android"/>
    <n v="148"/>
    <n v="2.7"/>
    <n v="625"/>
    <n v="34"/>
    <n v="416"/>
    <n v="27"/>
    <x v="3"/>
    <s v="Early Career"/>
    <s v="Male"/>
    <n v="2"/>
    <x v="2"/>
  </r>
  <r>
    <n v="583"/>
    <x v="3"/>
    <s v="iOS"/>
    <n v="191"/>
    <n v="5.7"/>
    <n v="1414"/>
    <n v="53"/>
    <n v="991"/>
    <n v="19"/>
    <x v="2"/>
    <s v="Young Adults"/>
    <s v="Female"/>
    <n v="3"/>
    <x v="1"/>
  </r>
  <r>
    <n v="584"/>
    <x v="0"/>
    <s v="Android"/>
    <n v="71"/>
    <n v="1.9"/>
    <n v="571"/>
    <n v="10"/>
    <n v="117"/>
    <n v="43"/>
    <x v="0"/>
    <s v="Mid Career"/>
    <s v="Female"/>
    <n v="1"/>
    <x v="2"/>
  </r>
  <r>
    <n v="585"/>
    <x v="1"/>
    <s v="Android"/>
    <n v="73"/>
    <n v="1.3"/>
    <n v="538"/>
    <n v="19"/>
    <n v="175"/>
    <n v="30"/>
    <x v="3"/>
    <s v="Early Career"/>
    <s v="Female"/>
    <n v="1"/>
    <x v="2"/>
  </r>
  <r>
    <n v="586"/>
    <x v="1"/>
    <s v="Android"/>
    <n v="149"/>
    <n v="3.1"/>
    <n v="1191"/>
    <n v="28"/>
    <n v="563"/>
    <n v="29"/>
    <x v="3"/>
    <s v="Early Career"/>
    <s v="Male"/>
    <n v="2"/>
    <x v="2"/>
  </r>
  <r>
    <n v="587"/>
    <x v="2"/>
    <s v="Android"/>
    <n v="197"/>
    <n v="4.4000000000000004"/>
    <n v="1665"/>
    <n v="44"/>
    <n v="608"/>
    <n v="43"/>
    <x v="0"/>
    <s v="Mid Career"/>
    <s v="Female"/>
    <n v="3"/>
    <x v="1"/>
  </r>
  <r>
    <n v="588"/>
    <x v="4"/>
    <s v="Android"/>
    <n v="328"/>
    <n v="6.1"/>
    <n v="1975"/>
    <n v="72"/>
    <n v="1101"/>
    <n v="24"/>
    <x v="2"/>
    <s v="Young Adults"/>
    <s v="Male"/>
    <n v="4"/>
    <x v="0"/>
  </r>
  <r>
    <n v="589"/>
    <x v="1"/>
    <s v="Android"/>
    <n v="424"/>
    <n v="7.5"/>
    <n v="1995"/>
    <n v="75"/>
    <n v="1228"/>
    <n v="36"/>
    <x v="0"/>
    <s v="Mid Career"/>
    <s v="Male"/>
    <n v="4"/>
    <x v="0"/>
  </r>
  <r>
    <n v="590"/>
    <x v="4"/>
    <s v="Android"/>
    <n v="111"/>
    <n v="3.6"/>
    <n v="627"/>
    <n v="26"/>
    <n v="464"/>
    <n v="39"/>
    <x v="0"/>
    <s v="Mid Career"/>
    <s v="Female"/>
    <n v="2"/>
    <x v="2"/>
  </r>
  <r>
    <n v="591"/>
    <x v="4"/>
    <s v="Android"/>
    <n v="159"/>
    <n v="3.7"/>
    <n v="630"/>
    <n v="33"/>
    <n v="575"/>
    <n v="30"/>
    <x v="3"/>
    <s v="Early Career"/>
    <s v="Male"/>
    <n v="2"/>
    <x v="2"/>
  </r>
  <r>
    <n v="592"/>
    <x v="0"/>
    <s v="Android"/>
    <n v="580"/>
    <n v="11.5"/>
    <n v="2767"/>
    <n v="84"/>
    <n v="2341"/>
    <n v="36"/>
    <x v="0"/>
    <s v="Mid Career"/>
    <s v="Female"/>
    <n v="5"/>
    <x v="0"/>
  </r>
  <r>
    <n v="593"/>
    <x v="4"/>
    <s v="Android"/>
    <n v="379"/>
    <n v="7.7"/>
    <n v="1809"/>
    <n v="64"/>
    <n v="1050"/>
    <n v="22"/>
    <x v="2"/>
    <s v="Young Adults"/>
    <s v="Female"/>
    <n v="4"/>
    <x v="0"/>
  </r>
  <r>
    <n v="594"/>
    <x v="4"/>
    <s v="Android"/>
    <n v="217"/>
    <n v="4.2"/>
    <n v="1500"/>
    <n v="42"/>
    <n v="677"/>
    <n v="26"/>
    <x v="3"/>
    <s v="Early Career"/>
    <s v="Female"/>
    <n v="3"/>
    <x v="1"/>
  </r>
  <r>
    <n v="595"/>
    <x v="2"/>
    <s v="Android"/>
    <n v="447"/>
    <n v="6.3"/>
    <n v="1959"/>
    <n v="63"/>
    <n v="1441"/>
    <n v="48"/>
    <x v="1"/>
    <s v="Mature Adults"/>
    <s v="Male"/>
    <n v="4"/>
    <x v="0"/>
  </r>
  <r>
    <n v="596"/>
    <x v="1"/>
    <s v="Android"/>
    <n v="512"/>
    <n v="10.5"/>
    <n v="2538"/>
    <n v="82"/>
    <n v="1694"/>
    <n v="41"/>
    <x v="0"/>
    <s v="Mid Career"/>
    <s v="Male"/>
    <n v="5"/>
    <x v="0"/>
  </r>
  <r>
    <n v="597"/>
    <x v="2"/>
    <s v="Android"/>
    <n v="511"/>
    <n v="10.8"/>
    <n v="2529"/>
    <n v="91"/>
    <n v="2387"/>
    <n v="21"/>
    <x v="2"/>
    <s v="Young Adults"/>
    <s v="Male"/>
    <n v="5"/>
    <x v="0"/>
  </r>
  <r>
    <n v="598"/>
    <x v="1"/>
    <s v="Android"/>
    <n v="140"/>
    <n v="2.5"/>
    <n v="825"/>
    <n v="31"/>
    <n v="347"/>
    <n v="59"/>
    <x v="4"/>
    <s v="Pre-retirment"/>
    <s v="Male"/>
    <n v="2"/>
    <x v="2"/>
  </r>
  <r>
    <n v="599"/>
    <x v="4"/>
    <s v="Android"/>
    <n v="114"/>
    <n v="3"/>
    <n v="1131"/>
    <n v="31"/>
    <n v="596"/>
    <n v="28"/>
    <x v="3"/>
    <s v="Early Career"/>
    <s v="Male"/>
    <n v="2"/>
    <x v="2"/>
  </r>
  <r>
    <n v="600"/>
    <x v="4"/>
    <s v="Android"/>
    <n v="192"/>
    <n v="4.3"/>
    <n v="1382"/>
    <n v="42"/>
    <n v="905"/>
    <n v="47"/>
    <x v="1"/>
    <s v="Mature Adults"/>
    <s v="Female"/>
    <n v="3"/>
    <x v="1"/>
  </r>
  <r>
    <n v="601"/>
    <x v="3"/>
    <s v="iOS"/>
    <n v="325"/>
    <n v="6"/>
    <n v="2244"/>
    <n v="70"/>
    <n v="1296"/>
    <n v="30"/>
    <x v="3"/>
    <s v="Early Career"/>
    <s v="Female"/>
    <n v="4"/>
    <x v="0"/>
  </r>
  <r>
    <n v="602"/>
    <x v="1"/>
    <s v="Android"/>
    <n v="83"/>
    <n v="1.2"/>
    <n v="545"/>
    <n v="15"/>
    <n v="284"/>
    <n v="44"/>
    <x v="0"/>
    <s v="Mid Career"/>
    <s v="Male"/>
    <n v="1"/>
    <x v="2"/>
  </r>
  <r>
    <n v="603"/>
    <x v="1"/>
    <s v="Android"/>
    <n v="122"/>
    <n v="3"/>
    <n v="922"/>
    <n v="32"/>
    <n v="373"/>
    <n v="43"/>
    <x v="0"/>
    <s v="Mid Career"/>
    <s v="Male"/>
    <n v="2"/>
    <x v="2"/>
  </r>
  <r>
    <n v="604"/>
    <x v="1"/>
    <s v="Android"/>
    <n v="138"/>
    <n v="2.1"/>
    <n v="660"/>
    <n v="22"/>
    <n v="424"/>
    <n v="41"/>
    <x v="0"/>
    <s v="Mid Career"/>
    <s v="Female"/>
    <n v="2"/>
    <x v="2"/>
  </r>
  <r>
    <n v="605"/>
    <x v="1"/>
    <s v="Android"/>
    <n v="182"/>
    <n v="5.3"/>
    <n v="1278"/>
    <n v="42"/>
    <n v="885"/>
    <n v="54"/>
    <x v="1"/>
    <s v="Mature Adults"/>
    <s v="Female"/>
    <n v="3"/>
    <x v="1"/>
  </r>
  <r>
    <n v="606"/>
    <x v="1"/>
    <s v="Android"/>
    <n v="425"/>
    <n v="6"/>
    <n v="1928"/>
    <n v="72"/>
    <n v="1150"/>
    <n v="53"/>
    <x v="1"/>
    <s v="Mature Adults"/>
    <s v="Female"/>
    <n v="4"/>
    <x v="0"/>
  </r>
  <r>
    <n v="607"/>
    <x v="1"/>
    <s v="Android"/>
    <n v="580"/>
    <n v="10.4"/>
    <n v="2496"/>
    <n v="81"/>
    <n v="2441"/>
    <n v="37"/>
    <x v="0"/>
    <s v="Mid Career"/>
    <s v="Female"/>
    <n v="5"/>
    <x v="0"/>
  </r>
  <r>
    <n v="608"/>
    <x v="2"/>
    <s v="Android"/>
    <n v="203"/>
    <n v="4"/>
    <n v="1323"/>
    <n v="56"/>
    <n v="787"/>
    <n v="21"/>
    <x v="2"/>
    <s v="Young Adults"/>
    <s v="Male"/>
    <n v="3"/>
    <x v="1"/>
  </r>
  <r>
    <n v="609"/>
    <x v="2"/>
    <s v="Android"/>
    <n v="258"/>
    <n v="4.9000000000000004"/>
    <n v="1596"/>
    <n v="56"/>
    <n v="937"/>
    <n v="40"/>
    <x v="0"/>
    <s v="Mid Career"/>
    <s v="Female"/>
    <n v="3"/>
    <x v="1"/>
  </r>
  <r>
    <n v="610"/>
    <x v="3"/>
    <s v="iOS"/>
    <n v="551"/>
    <n v="8.5"/>
    <n v="2927"/>
    <n v="92"/>
    <n v="1901"/>
    <n v="51"/>
    <x v="1"/>
    <s v="Mature Adults"/>
    <s v="Male"/>
    <n v="5"/>
    <x v="0"/>
  </r>
  <r>
    <n v="611"/>
    <x v="3"/>
    <s v="iOS"/>
    <n v="507"/>
    <n v="9.6"/>
    <n v="2606"/>
    <n v="95"/>
    <n v="1543"/>
    <n v="48"/>
    <x v="1"/>
    <s v="Mature Adults"/>
    <s v="Male"/>
    <n v="5"/>
    <x v="0"/>
  </r>
  <r>
    <n v="612"/>
    <x v="2"/>
    <s v="Android"/>
    <n v="57"/>
    <n v="1.3"/>
    <n v="489"/>
    <n v="16"/>
    <n v="131"/>
    <n v="37"/>
    <x v="0"/>
    <s v="Mid Career"/>
    <s v="Male"/>
    <n v="1"/>
    <x v="2"/>
  </r>
  <r>
    <n v="613"/>
    <x v="2"/>
    <s v="Android"/>
    <n v="553"/>
    <n v="10.199999999999999"/>
    <n v="2911"/>
    <n v="82"/>
    <n v="2441"/>
    <n v="44"/>
    <x v="0"/>
    <s v="Mid Career"/>
    <s v="Male"/>
    <n v="5"/>
    <x v="0"/>
  </r>
  <r>
    <n v="614"/>
    <x v="0"/>
    <s v="Android"/>
    <n v="49"/>
    <n v="1.1000000000000001"/>
    <n v="395"/>
    <n v="16"/>
    <n v="153"/>
    <n v="46"/>
    <x v="1"/>
    <s v="Mature Adults"/>
    <s v="Female"/>
    <n v="1"/>
    <x v="2"/>
  </r>
  <r>
    <n v="615"/>
    <x v="4"/>
    <s v="Android"/>
    <n v="106"/>
    <n v="4"/>
    <n v="1158"/>
    <n v="23"/>
    <n v="493"/>
    <n v="18"/>
    <x v="2"/>
    <s v="Young Adults"/>
    <s v="Male"/>
    <n v="2"/>
    <x v="2"/>
  </r>
  <r>
    <n v="616"/>
    <x v="0"/>
    <s v="Android"/>
    <n v="119"/>
    <n v="3.7"/>
    <n v="608"/>
    <n v="36"/>
    <n v="461"/>
    <n v="52"/>
    <x v="1"/>
    <s v="Mature Adults"/>
    <s v="Male"/>
    <n v="2"/>
    <x v="2"/>
  </r>
  <r>
    <n v="617"/>
    <x v="1"/>
    <s v="Android"/>
    <n v="288"/>
    <n v="5.4"/>
    <n v="1476"/>
    <n v="49"/>
    <n v="767"/>
    <n v="36"/>
    <x v="0"/>
    <s v="Mid Career"/>
    <s v="Female"/>
    <n v="3"/>
    <x v="1"/>
  </r>
  <r>
    <n v="618"/>
    <x v="0"/>
    <s v="Android"/>
    <n v="225"/>
    <n v="5.6"/>
    <n v="1388"/>
    <n v="55"/>
    <n v="965"/>
    <n v="36"/>
    <x v="0"/>
    <s v="Mid Career"/>
    <s v="Female"/>
    <n v="3"/>
    <x v="1"/>
  </r>
  <r>
    <n v="619"/>
    <x v="1"/>
    <s v="Android"/>
    <n v="342"/>
    <n v="7"/>
    <n v="1826"/>
    <n v="71"/>
    <n v="1077"/>
    <n v="26"/>
    <x v="3"/>
    <s v="Early Career"/>
    <s v="Female"/>
    <n v="4"/>
    <x v="0"/>
  </r>
  <r>
    <n v="620"/>
    <x v="4"/>
    <s v="Android"/>
    <n v="292"/>
    <n v="4.2"/>
    <n v="1407"/>
    <n v="54"/>
    <n v="867"/>
    <n v="59"/>
    <x v="4"/>
    <s v="Pre-retirment"/>
    <s v="Male"/>
    <n v="3"/>
    <x v="1"/>
  </r>
  <r>
    <n v="621"/>
    <x v="3"/>
    <s v="iOS"/>
    <n v="218"/>
    <n v="5"/>
    <n v="1475"/>
    <n v="46"/>
    <n v="972"/>
    <n v="59"/>
    <x v="4"/>
    <s v="Pre-retirment"/>
    <s v="Female"/>
    <n v="3"/>
    <x v="1"/>
  </r>
  <r>
    <n v="622"/>
    <x v="0"/>
    <s v="Android"/>
    <n v="64"/>
    <n v="1.8"/>
    <n v="351"/>
    <n v="15"/>
    <n v="274"/>
    <n v="56"/>
    <x v="4"/>
    <s v="Pre-retirment"/>
    <s v="Male"/>
    <n v="1"/>
    <x v="2"/>
  </r>
  <r>
    <n v="623"/>
    <x v="2"/>
    <s v="Android"/>
    <n v="453"/>
    <n v="7.4"/>
    <n v="2363"/>
    <n v="65"/>
    <n v="1046"/>
    <n v="41"/>
    <x v="0"/>
    <s v="Mid Career"/>
    <s v="Female"/>
    <n v="4"/>
    <x v="0"/>
  </r>
  <r>
    <n v="624"/>
    <x v="1"/>
    <s v="Android"/>
    <n v="42"/>
    <n v="1.8"/>
    <n v="417"/>
    <n v="15"/>
    <n v="284"/>
    <n v="21"/>
    <x v="2"/>
    <s v="Young Adults"/>
    <s v="Male"/>
    <n v="1"/>
    <x v="2"/>
  </r>
  <r>
    <n v="625"/>
    <x v="4"/>
    <s v="Android"/>
    <n v="36"/>
    <n v="1.5"/>
    <n v="310"/>
    <n v="15"/>
    <n v="272"/>
    <n v="45"/>
    <x v="1"/>
    <s v="Mature Adults"/>
    <s v="Male"/>
    <n v="1"/>
    <x v="2"/>
  </r>
  <r>
    <n v="626"/>
    <x v="1"/>
    <s v="Android"/>
    <n v="55"/>
    <n v="1.8"/>
    <n v="328"/>
    <n v="12"/>
    <n v="196"/>
    <n v="31"/>
    <x v="3"/>
    <s v="Early Career"/>
    <s v="Female"/>
    <n v="1"/>
    <x v="2"/>
  </r>
  <r>
    <n v="627"/>
    <x v="3"/>
    <s v="iOS"/>
    <n v="210"/>
    <n v="5"/>
    <n v="1614"/>
    <n v="53"/>
    <n v="679"/>
    <n v="55"/>
    <x v="4"/>
    <s v="Pre-retirment"/>
    <s v="Female"/>
    <n v="3"/>
    <x v="1"/>
  </r>
  <r>
    <n v="628"/>
    <x v="3"/>
    <s v="iOS"/>
    <n v="227"/>
    <n v="5.2"/>
    <n v="1446"/>
    <n v="46"/>
    <n v="920"/>
    <n v="59"/>
    <x v="4"/>
    <s v="Pre-retirment"/>
    <s v="Male"/>
    <n v="3"/>
    <x v="1"/>
  </r>
  <r>
    <n v="629"/>
    <x v="2"/>
    <s v="Android"/>
    <n v="47"/>
    <n v="1.2"/>
    <n v="437"/>
    <n v="18"/>
    <n v="234"/>
    <n v="55"/>
    <x v="4"/>
    <s v="Pre-retirment"/>
    <s v="Male"/>
    <n v="1"/>
    <x v="2"/>
  </r>
  <r>
    <n v="630"/>
    <x v="3"/>
    <s v="iOS"/>
    <n v="461"/>
    <n v="6.3"/>
    <n v="1988"/>
    <n v="62"/>
    <n v="1004"/>
    <n v="21"/>
    <x v="2"/>
    <s v="Young Adults"/>
    <s v="Male"/>
    <n v="4"/>
    <x v="0"/>
  </r>
  <r>
    <n v="631"/>
    <x v="0"/>
    <s v="Android"/>
    <n v="94"/>
    <n v="3.1"/>
    <n v="1078"/>
    <n v="38"/>
    <n v="489"/>
    <n v="25"/>
    <x v="3"/>
    <s v="Early Career"/>
    <s v="Male"/>
    <n v="2"/>
    <x v="2"/>
  </r>
  <r>
    <n v="632"/>
    <x v="4"/>
    <s v="Android"/>
    <n v="216"/>
    <n v="5.0999999999999996"/>
    <n v="1483"/>
    <n v="54"/>
    <n v="977"/>
    <n v="45"/>
    <x v="1"/>
    <s v="Mature Adults"/>
    <s v="Female"/>
    <n v="3"/>
    <x v="1"/>
  </r>
  <r>
    <n v="633"/>
    <x v="3"/>
    <s v="iOS"/>
    <n v="496"/>
    <n v="10.199999999999999"/>
    <n v="2587"/>
    <n v="84"/>
    <n v="1921"/>
    <n v="56"/>
    <x v="4"/>
    <s v="Pre-retirment"/>
    <s v="Female"/>
    <n v="5"/>
    <x v="0"/>
  </r>
  <r>
    <n v="634"/>
    <x v="1"/>
    <s v="Android"/>
    <n v="138"/>
    <n v="3.2"/>
    <n v="1142"/>
    <n v="31"/>
    <n v="366"/>
    <n v="29"/>
    <x v="3"/>
    <s v="Early Career"/>
    <s v="Female"/>
    <n v="2"/>
    <x v="2"/>
  </r>
  <r>
    <n v="635"/>
    <x v="3"/>
    <s v="iOS"/>
    <n v="318"/>
    <n v="6.6"/>
    <n v="2055"/>
    <n v="67"/>
    <n v="1253"/>
    <n v="43"/>
    <x v="0"/>
    <s v="Mid Career"/>
    <s v="Male"/>
    <n v="4"/>
    <x v="0"/>
  </r>
  <r>
    <n v="636"/>
    <x v="4"/>
    <s v="Android"/>
    <n v="96"/>
    <n v="3.4"/>
    <n v="1198"/>
    <n v="39"/>
    <n v="401"/>
    <n v="48"/>
    <x v="1"/>
    <s v="Mature Adults"/>
    <s v="Female"/>
    <n v="2"/>
    <x v="2"/>
  </r>
  <r>
    <n v="637"/>
    <x v="1"/>
    <s v="Android"/>
    <n v="510"/>
    <n v="10.7"/>
    <n v="2433"/>
    <n v="90"/>
    <n v="1729"/>
    <n v="47"/>
    <x v="1"/>
    <s v="Mature Adults"/>
    <s v="Male"/>
    <n v="5"/>
    <x v="0"/>
  </r>
  <r>
    <n v="638"/>
    <x v="2"/>
    <s v="Android"/>
    <n v="83"/>
    <n v="1.1000000000000001"/>
    <n v="546"/>
    <n v="10"/>
    <n v="289"/>
    <n v="32"/>
    <x v="3"/>
    <s v="Early Career"/>
    <s v="Female"/>
    <n v="1"/>
    <x v="2"/>
  </r>
  <r>
    <n v="639"/>
    <x v="0"/>
    <s v="Android"/>
    <n v="417"/>
    <n v="6.2"/>
    <n v="2074"/>
    <n v="63"/>
    <n v="1135"/>
    <n v="35"/>
    <x v="0"/>
    <s v="Mid Career"/>
    <s v="Female"/>
    <n v="4"/>
    <x v="0"/>
  </r>
  <r>
    <n v="640"/>
    <x v="0"/>
    <s v="Android"/>
    <n v="538"/>
    <n v="9.8000000000000007"/>
    <n v="2778"/>
    <n v="91"/>
    <n v="2080"/>
    <n v="35"/>
    <x v="0"/>
    <s v="Mid Career"/>
    <s v="Female"/>
    <n v="5"/>
    <x v="0"/>
  </r>
  <r>
    <n v="641"/>
    <x v="4"/>
    <s v="Android"/>
    <n v="63"/>
    <n v="1.8"/>
    <n v="321"/>
    <n v="11"/>
    <n v="271"/>
    <n v="42"/>
    <x v="0"/>
    <s v="Mid Career"/>
    <s v="Male"/>
    <n v="1"/>
    <x v="2"/>
  </r>
  <r>
    <n v="642"/>
    <x v="1"/>
    <s v="Android"/>
    <n v="50"/>
    <n v="1.4"/>
    <n v="443"/>
    <n v="16"/>
    <n v="255"/>
    <n v="26"/>
    <x v="3"/>
    <s v="Early Career"/>
    <s v="Female"/>
    <n v="1"/>
    <x v="2"/>
  </r>
  <r>
    <n v="643"/>
    <x v="0"/>
    <s v="Android"/>
    <n v="502"/>
    <n v="8.1999999999999993"/>
    <n v="2597"/>
    <n v="90"/>
    <n v="1553"/>
    <n v="27"/>
    <x v="3"/>
    <s v="Early Career"/>
    <s v="Male"/>
    <n v="5"/>
    <x v="0"/>
  </r>
  <r>
    <n v="644"/>
    <x v="1"/>
    <s v="Android"/>
    <n v="105"/>
    <n v="3.3"/>
    <n v="723"/>
    <n v="35"/>
    <n v="566"/>
    <n v="46"/>
    <x v="1"/>
    <s v="Mature Adults"/>
    <s v="Male"/>
    <n v="2"/>
    <x v="2"/>
  </r>
  <r>
    <n v="645"/>
    <x v="0"/>
    <s v="Android"/>
    <n v="186"/>
    <n v="4.8"/>
    <n v="1494"/>
    <n v="53"/>
    <n v="949"/>
    <n v="20"/>
    <x v="2"/>
    <s v="Young Adults"/>
    <s v="Female"/>
    <n v="3"/>
    <x v="1"/>
  </r>
  <r>
    <n v="646"/>
    <x v="2"/>
    <s v="Android"/>
    <n v="174"/>
    <n v="2.9"/>
    <n v="1197"/>
    <n v="23"/>
    <n v="345"/>
    <n v="20"/>
    <x v="2"/>
    <s v="Young Adults"/>
    <s v="Female"/>
    <n v="2"/>
    <x v="2"/>
  </r>
  <r>
    <n v="647"/>
    <x v="4"/>
    <s v="Android"/>
    <n v="89"/>
    <n v="1.3"/>
    <n v="314"/>
    <n v="16"/>
    <n v="201"/>
    <n v="58"/>
    <x v="4"/>
    <s v="Pre-retirment"/>
    <s v="Female"/>
    <n v="1"/>
    <x v="2"/>
  </r>
  <r>
    <n v="648"/>
    <x v="3"/>
    <s v="iOS"/>
    <n v="66"/>
    <n v="1.5"/>
    <n v="565"/>
    <n v="17"/>
    <n v="283"/>
    <n v="42"/>
    <x v="0"/>
    <s v="Mid Career"/>
    <s v="Female"/>
    <n v="1"/>
    <x v="2"/>
  </r>
  <r>
    <n v="649"/>
    <x v="3"/>
    <s v="iOS"/>
    <n v="389"/>
    <n v="6.3"/>
    <n v="2294"/>
    <n v="76"/>
    <n v="1334"/>
    <n v="53"/>
    <x v="1"/>
    <s v="Mature Adults"/>
    <s v="Male"/>
    <n v="4"/>
    <x v="0"/>
  </r>
  <r>
    <n v="650"/>
    <x v="2"/>
    <s v="Android"/>
    <n v="186"/>
    <n v="5.4"/>
    <n v="1627"/>
    <n v="58"/>
    <n v="790"/>
    <n v="31"/>
    <x v="3"/>
    <s v="Early Career"/>
    <s v="Female"/>
    <n v="3"/>
    <x v="1"/>
  </r>
  <r>
    <n v="651"/>
    <x v="0"/>
    <s v="Android"/>
    <n v="149"/>
    <n v="2"/>
    <n v="1041"/>
    <n v="39"/>
    <n v="356"/>
    <n v="49"/>
    <x v="1"/>
    <s v="Mature Adults"/>
    <s v="Male"/>
    <n v="2"/>
    <x v="2"/>
  </r>
  <r>
    <n v="652"/>
    <x v="3"/>
    <s v="iOS"/>
    <n v="69"/>
    <n v="1.7"/>
    <n v="519"/>
    <n v="10"/>
    <n v="167"/>
    <n v="51"/>
    <x v="1"/>
    <s v="Mature Adults"/>
    <s v="Female"/>
    <n v="1"/>
    <x v="2"/>
  </r>
  <r>
    <n v="653"/>
    <x v="2"/>
    <s v="Android"/>
    <n v="206"/>
    <n v="5.2"/>
    <n v="1632"/>
    <n v="47"/>
    <n v="694"/>
    <n v="30"/>
    <x v="3"/>
    <s v="Early Career"/>
    <s v="Male"/>
    <n v="3"/>
    <x v="1"/>
  </r>
  <r>
    <n v="654"/>
    <x v="4"/>
    <s v="Android"/>
    <n v="49"/>
    <n v="1.2"/>
    <n v="365"/>
    <n v="19"/>
    <n v="144"/>
    <n v="29"/>
    <x v="3"/>
    <s v="Early Career"/>
    <s v="Male"/>
    <n v="1"/>
    <x v="2"/>
  </r>
  <r>
    <n v="655"/>
    <x v="0"/>
    <s v="Android"/>
    <n v="594"/>
    <n v="10.5"/>
    <n v="2839"/>
    <n v="91"/>
    <n v="1647"/>
    <n v="56"/>
    <x v="4"/>
    <s v="Pre-retirment"/>
    <s v="Male"/>
    <n v="5"/>
    <x v="0"/>
  </r>
  <r>
    <n v="656"/>
    <x v="0"/>
    <s v="Android"/>
    <n v="104"/>
    <n v="3.7"/>
    <n v="1028"/>
    <n v="29"/>
    <n v="493"/>
    <n v="39"/>
    <x v="0"/>
    <s v="Mid Career"/>
    <s v="Male"/>
    <n v="2"/>
    <x v="2"/>
  </r>
  <r>
    <n v="657"/>
    <x v="0"/>
    <s v="Android"/>
    <n v="262"/>
    <n v="5.6"/>
    <n v="1489"/>
    <n v="59"/>
    <n v="628"/>
    <n v="54"/>
    <x v="1"/>
    <s v="Mature Adults"/>
    <s v="Female"/>
    <n v="3"/>
    <x v="1"/>
  </r>
  <r>
    <n v="658"/>
    <x v="2"/>
    <s v="Android"/>
    <n v="278"/>
    <n v="5.3"/>
    <n v="1368"/>
    <n v="56"/>
    <n v="894"/>
    <n v="40"/>
    <x v="0"/>
    <s v="Mid Career"/>
    <s v="Female"/>
    <n v="3"/>
    <x v="1"/>
  </r>
  <r>
    <n v="659"/>
    <x v="2"/>
    <s v="Android"/>
    <n v="463"/>
    <n v="6.8"/>
    <n v="2358"/>
    <n v="68"/>
    <n v="1236"/>
    <n v="43"/>
    <x v="0"/>
    <s v="Mid Career"/>
    <s v="Female"/>
    <n v="4"/>
    <x v="0"/>
  </r>
  <r>
    <n v="660"/>
    <x v="2"/>
    <s v="Android"/>
    <n v="505"/>
    <n v="9.6"/>
    <n v="2464"/>
    <n v="91"/>
    <n v="2375"/>
    <n v="35"/>
    <x v="0"/>
    <s v="Mid Career"/>
    <s v="Male"/>
    <n v="5"/>
    <x v="0"/>
  </r>
  <r>
    <n v="661"/>
    <x v="0"/>
    <s v="Android"/>
    <n v="50"/>
    <n v="1.5"/>
    <n v="387"/>
    <n v="12"/>
    <n v="146"/>
    <n v="59"/>
    <x v="4"/>
    <s v="Pre-retirment"/>
    <s v="Male"/>
    <n v="1"/>
    <x v="2"/>
  </r>
  <r>
    <n v="662"/>
    <x v="2"/>
    <s v="Android"/>
    <n v="138"/>
    <n v="3.1"/>
    <n v="947"/>
    <n v="29"/>
    <n v="545"/>
    <n v="48"/>
    <x v="1"/>
    <s v="Mature Adults"/>
    <s v="Male"/>
    <n v="2"/>
    <x v="2"/>
  </r>
  <r>
    <n v="663"/>
    <x v="2"/>
    <s v="Android"/>
    <n v="130"/>
    <n v="3.2"/>
    <n v="1189"/>
    <n v="37"/>
    <n v="448"/>
    <n v="45"/>
    <x v="1"/>
    <s v="Mature Adults"/>
    <s v="Male"/>
    <n v="2"/>
    <x v="2"/>
  </r>
  <r>
    <n v="664"/>
    <x v="0"/>
    <s v="Android"/>
    <n v="469"/>
    <n v="6.4"/>
    <n v="1858"/>
    <n v="78"/>
    <n v="1297"/>
    <n v="55"/>
    <x v="4"/>
    <s v="Pre-retirment"/>
    <s v="Female"/>
    <n v="4"/>
    <x v="0"/>
  </r>
  <r>
    <n v="665"/>
    <x v="2"/>
    <s v="Android"/>
    <n v="555"/>
    <n v="10.3"/>
    <n v="2568"/>
    <n v="83"/>
    <n v="2003"/>
    <n v="52"/>
    <x v="1"/>
    <s v="Mature Adults"/>
    <s v="Male"/>
    <n v="5"/>
    <x v="0"/>
  </r>
  <r>
    <n v="666"/>
    <x v="3"/>
    <s v="iOS"/>
    <n v="198"/>
    <n v="5.4"/>
    <n v="1544"/>
    <n v="53"/>
    <n v="635"/>
    <n v="53"/>
    <x v="1"/>
    <s v="Mature Adults"/>
    <s v="Male"/>
    <n v="3"/>
    <x v="1"/>
  </r>
  <r>
    <n v="667"/>
    <x v="4"/>
    <s v="Android"/>
    <n v="529"/>
    <n v="11.4"/>
    <n v="2891"/>
    <n v="82"/>
    <n v="1845"/>
    <n v="46"/>
    <x v="1"/>
    <s v="Mature Adults"/>
    <s v="Male"/>
    <n v="5"/>
    <x v="0"/>
  </r>
  <r>
    <n v="668"/>
    <x v="4"/>
    <s v="Android"/>
    <n v="205"/>
    <n v="5.5"/>
    <n v="1699"/>
    <n v="49"/>
    <n v="729"/>
    <n v="36"/>
    <x v="0"/>
    <s v="Mid Career"/>
    <s v="Male"/>
    <n v="3"/>
    <x v="1"/>
  </r>
  <r>
    <n v="669"/>
    <x v="3"/>
    <s v="iOS"/>
    <n v="170"/>
    <n v="2.4"/>
    <n v="1039"/>
    <n v="38"/>
    <n v="334"/>
    <n v="23"/>
    <x v="2"/>
    <s v="Young Adults"/>
    <s v="Male"/>
    <n v="2"/>
    <x v="2"/>
  </r>
  <r>
    <n v="670"/>
    <x v="4"/>
    <s v="Android"/>
    <n v="160"/>
    <n v="3.2"/>
    <n v="648"/>
    <n v="31"/>
    <n v="339"/>
    <n v="27"/>
    <x v="3"/>
    <s v="Early Career"/>
    <s v="Female"/>
    <n v="2"/>
    <x v="2"/>
  </r>
  <r>
    <n v="671"/>
    <x v="3"/>
    <s v="iOS"/>
    <n v="81"/>
    <n v="1.6"/>
    <n v="387"/>
    <n v="13"/>
    <n v="224"/>
    <n v="48"/>
    <x v="1"/>
    <s v="Mature Adults"/>
    <s v="Male"/>
    <n v="1"/>
    <x v="2"/>
  </r>
  <r>
    <n v="672"/>
    <x v="0"/>
    <s v="Android"/>
    <n v="468"/>
    <n v="7.3"/>
    <n v="1937"/>
    <n v="64"/>
    <n v="1209"/>
    <n v="22"/>
    <x v="2"/>
    <s v="Young Adults"/>
    <s v="Male"/>
    <n v="4"/>
    <x v="0"/>
  </r>
  <r>
    <n v="673"/>
    <x v="2"/>
    <s v="Android"/>
    <n v="500"/>
    <n v="11.2"/>
    <n v="2925"/>
    <n v="84"/>
    <n v="2438"/>
    <n v="27"/>
    <x v="3"/>
    <s v="Early Career"/>
    <s v="Male"/>
    <n v="5"/>
    <x v="0"/>
  </r>
  <r>
    <n v="674"/>
    <x v="0"/>
    <s v="Android"/>
    <n v="37"/>
    <n v="1.6"/>
    <n v="490"/>
    <n v="18"/>
    <n v="216"/>
    <n v="52"/>
    <x v="1"/>
    <s v="Mature Adults"/>
    <s v="Male"/>
    <n v="1"/>
    <x v="2"/>
  </r>
  <r>
    <n v="675"/>
    <x v="2"/>
    <s v="Android"/>
    <n v="522"/>
    <n v="11.4"/>
    <n v="2776"/>
    <n v="93"/>
    <n v="1768"/>
    <n v="27"/>
    <x v="3"/>
    <s v="Early Career"/>
    <s v="Female"/>
    <n v="5"/>
    <x v="0"/>
  </r>
  <r>
    <n v="676"/>
    <x v="2"/>
    <s v="Android"/>
    <n v="81"/>
    <n v="1.5"/>
    <n v="545"/>
    <n v="17"/>
    <n v="159"/>
    <n v="40"/>
    <x v="0"/>
    <s v="Mid Career"/>
    <s v="Male"/>
    <n v="1"/>
    <x v="2"/>
  </r>
  <r>
    <n v="677"/>
    <x v="1"/>
    <s v="Android"/>
    <n v="141"/>
    <n v="3.8"/>
    <n v="689"/>
    <n v="38"/>
    <n v="576"/>
    <n v="34"/>
    <x v="3"/>
    <s v="Early Career"/>
    <s v="Male"/>
    <n v="2"/>
    <x v="2"/>
  </r>
  <r>
    <n v="678"/>
    <x v="4"/>
    <s v="Android"/>
    <n v="115"/>
    <n v="3.5"/>
    <n v="706"/>
    <n v="26"/>
    <n v="495"/>
    <n v="52"/>
    <x v="1"/>
    <s v="Mature Adults"/>
    <s v="Female"/>
    <n v="2"/>
    <x v="2"/>
  </r>
  <r>
    <n v="679"/>
    <x v="0"/>
    <s v="Android"/>
    <n v="298"/>
    <n v="4.5999999999999996"/>
    <n v="1525"/>
    <n v="59"/>
    <n v="814"/>
    <n v="36"/>
    <x v="0"/>
    <s v="Mid Career"/>
    <s v="Female"/>
    <n v="3"/>
    <x v="1"/>
  </r>
  <r>
    <n v="680"/>
    <x v="3"/>
    <s v="iOS"/>
    <n v="33"/>
    <n v="1.8"/>
    <n v="334"/>
    <n v="16"/>
    <n v="113"/>
    <n v="36"/>
    <x v="0"/>
    <s v="Mid Career"/>
    <s v="Female"/>
    <n v="1"/>
    <x v="2"/>
  </r>
  <r>
    <n v="681"/>
    <x v="0"/>
    <s v="Android"/>
    <n v="307"/>
    <n v="6.1"/>
    <n v="2105"/>
    <n v="76"/>
    <n v="1111"/>
    <n v="25"/>
    <x v="3"/>
    <s v="Early Career"/>
    <s v="Female"/>
    <n v="4"/>
    <x v="0"/>
  </r>
  <r>
    <n v="682"/>
    <x v="2"/>
    <s v="Android"/>
    <n v="380"/>
    <n v="7.6"/>
    <n v="2354"/>
    <n v="77"/>
    <n v="1191"/>
    <n v="30"/>
    <x v="3"/>
    <s v="Early Career"/>
    <s v="Male"/>
    <n v="4"/>
    <x v="0"/>
  </r>
  <r>
    <n v="683"/>
    <x v="2"/>
    <s v="Android"/>
    <n v="190"/>
    <n v="5.5"/>
    <n v="1718"/>
    <n v="58"/>
    <n v="815"/>
    <n v="42"/>
    <x v="0"/>
    <s v="Mid Career"/>
    <s v="Male"/>
    <n v="3"/>
    <x v="1"/>
  </r>
  <r>
    <n v="684"/>
    <x v="4"/>
    <s v="Android"/>
    <n v="75"/>
    <n v="1.6"/>
    <n v="325"/>
    <n v="12"/>
    <n v="225"/>
    <n v="45"/>
    <x v="1"/>
    <s v="Mature Adults"/>
    <s v="Male"/>
    <n v="1"/>
    <x v="2"/>
  </r>
  <r>
    <n v="685"/>
    <x v="0"/>
    <s v="Android"/>
    <n v="218"/>
    <n v="4"/>
    <n v="1221"/>
    <n v="47"/>
    <n v="822"/>
    <n v="25"/>
    <x v="3"/>
    <s v="Early Career"/>
    <s v="Male"/>
    <n v="3"/>
    <x v="1"/>
  </r>
  <r>
    <n v="686"/>
    <x v="2"/>
    <s v="Android"/>
    <n v="412"/>
    <n v="6.6"/>
    <n v="1859"/>
    <n v="67"/>
    <n v="1393"/>
    <n v="18"/>
    <x v="2"/>
    <s v="Young Adults"/>
    <s v="Male"/>
    <n v="4"/>
    <x v="0"/>
  </r>
  <r>
    <n v="687"/>
    <x v="0"/>
    <s v="Android"/>
    <n v="335"/>
    <n v="7.7"/>
    <n v="2037"/>
    <n v="68"/>
    <n v="1007"/>
    <n v="18"/>
    <x v="2"/>
    <s v="Young Adults"/>
    <s v="Male"/>
    <n v="4"/>
    <x v="0"/>
  </r>
  <r>
    <n v="688"/>
    <x v="1"/>
    <s v="Android"/>
    <n v="387"/>
    <n v="6.3"/>
    <n v="2098"/>
    <n v="61"/>
    <n v="1178"/>
    <n v="54"/>
    <x v="1"/>
    <s v="Mature Adults"/>
    <s v="Male"/>
    <n v="4"/>
    <x v="0"/>
  </r>
  <r>
    <n v="689"/>
    <x v="0"/>
    <s v="Android"/>
    <n v="261"/>
    <n v="4.9000000000000004"/>
    <n v="1589"/>
    <n v="56"/>
    <n v="824"/>
    <n v="52"/>
    <x v="1"/>
    <s v="Mature Adults"/>
    <s v="Female"/>
    <n v="3"/>
    <x v="1"/>
  </r>
  <r>
    <n v="690"/>
    <x v="4"/>
    <s v="Android"/>
    <n v="541"/>
    <n v="9.5"/>
    <n v="2424"/>
    <n v="98"/>
    <n v="1550"/>
    <n v="32"/>
    <x v="3"/>
    <s v="Early Career"/>
    <s v="Male"/>
    <n v="5"/>
    <x v="0"/>
  </r>
  <r>
    <n v="691"/>
    <x v="0"/>
    <s v="Android"/>
    <n v="195"/>
    <n v="5.7"/>
    <n v="1447"/>
    <n v="48"/>
    <n v="679"/>
    <n v="30"/>
    <x v="3"/>
    <s v="Early Career"/>
    <s v="Male"/>
    <n v="3"/>
    <x v="1"/>
  </r>
  <r>
    <n v="692"/>
    <x v="3"/>
    <s v="iOS"/>
    <n v="178"/>
    <n v="4"/>
    <n v="856"/>
    <n v="37"/>
    <n v="569"/>
    <n v="51"/>
    <x v="1"/>
    <s v="Mature Adults"/>
    <s v="Female"/>
    <n v="2"/>
    <x v="2"/>
  </r>
  <r>
    <n v="693"/>
    <x v="2"/>
    <s v="Android"/>
    <n v="378"/>
    <n v="6.7"/>
    <n v="1898"/>
    <n v="78"/>
    <n v="1455"/>
    <n v="48"/>
    <x v="1"/>
    <s v="Mature Adults"/>
    <s v="Female"/>
    <n v="4"/>
    <x v="0"/>
  </r>
  <r>
    <n v="694"/>
    <x v="2"/>
    <s v="Android"/>
    <n v="505"/>
    <n v="8.6"/>
    <n v="2792"/>
    <n v="82"/>
    <n v="1709"/>
    <n v="31"/>
    <x v="3"/>
    <s v="Early Career"/>
    <s v="Male"/>
    <n v="5"/>
    <x v="0"/>
  </r>
  <r>
    <n v="695"/>
    <x v="4"/>
    <s v="Android"/>
    <n v="564"/>
    <n v="9.6999999999999993"/>
    <n v="2422"/>
    <n v="83"/>
    <n v="1985"/>
    <n v="34"/>
    <x v="3"/>
    <s v="Early Career"/>
    <s v="Female"/>
    <n v="5"/>
    <x v="0"/>
  </r>
  <r>
    <n v="696"/>
    <x v="3"/>
    <s v="iOS"/>
    <n v="92"/>
    <n v="3.9"/>
    <n v="1082"/>
    <n v="26"/>
    <n v="381"/>
    <n v="22"/>
    <x v="2"/>
    <s v="Young Adults"/>
    <s v="Male"/>
    <n v="2"/>
    <x v="2"/>
  </r>
  <r>
    <n v="697"/>
    <x v="2"/>
    <s v="Android"/>
    <n v="316"/>
    <n v="6.8"/>
    <n v="1965"/>
    <n v="68"/>
    <n v="1201"/>
    <n v="59"/>
    <x v="4"/>
    <s v="Pre-retirment"/>
    <s v="Male"/>
    <n v="4"/>
    <x v="0"/>
  </r>
  <r>
    <n v="698"/>
    <x v="0"/>
    <s v="Android"/>
    <n v="99"/>
    <n v="3.1"/>
    <n v="942"/>
    <n v="22"/>
    <n v="457"/>
    <n v="50"/>
    <x v="1"/>
    <s v="Mature Adults"/>
    <s v="Female"/>
    <n v="2"/>
    <x v="2"/>
  </r>
  <r>
    <n v="699"/>
    <x v="4"/>
    <s v="Android"/>
    <n v="62"/>
    <n v="1.7"/>
    <n v="431"/>
    <n v="13"/>
    <n v="224"/>
    <n v="44"/>
    <x v="0"/>
    <s v="Mid Career"/>
    <s v="Male"/>
    <n v="1"/>
    <x v="2"/>
  </r>
  <r>
    <n v="700"/>
    <x v="1"/>
    <s v="Android"/>
    <n v="212"/>
    <n v="5.4"/>
    <n v="1306"/>
    <n v="49"/>
    <n v="828"/>
    <n v="23"/>
    <x v="2"/>
    <s v="Young Adults"/>
    <s v="Female"/>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PivotTable24" cacheId="596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vice Model">
  <location ref="N62:O68"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Average of Number of Apps Installed" fld="1" subtotal="average" baseField="0" baseItem="0" numFmtId="1"/>
  </dataFields>
  <formats count="1">
    <format dxfId="5">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2.xml><?xml version="1.0" encoding="utf-8"?>
<pivotTableDefinition xmlns="http://schemas.openxmlformats.org/spreadsheetml/2006/main" name="PivotTable23" cacheId="59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Device Models">
  <location ref="U31:V37"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Average of Screen On Time (hours/day)" fld="1" subtotal="average" baseField="0" baseItem="0" numFmtId="164"/>
  </dataFields>
  <formats count="1">
    <format dxfId="6">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3.xml><?xml version="1.0" encoding="utf-8"?>
<pivotTableDefinition xmlns="http://schemas.openxmlformats.org/spreadsheetml/2006/main" name="PivotTable18" cacheId="59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58:H75" firstHeaderRow="1" firstDataRow="1" firstDataCol="0"/>
  <pivotFields count="1">
    <pivotField allDrilled="1" showAll="0" dataSourceSort="1" defaultAttributeDrillState="1">
      <items count="1">
        <item t="default"/>
      </items>
    </pivotField>
  </pivot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4.xml><?xml version="1.0" encoding="utf-8"?>
<pivotTableDefinition xmlns="http://schemas.openxmlformats.org/spreadsheetml/2006/main" name="PivotTable19" cacheId="594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C57:D63"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1"/>
    </i>
    <i>
      <x v="4"/>
    </i>
    <i>
      <x v="2"/>
    </i>
    <i>
      <x v="3"/>
    </i>
    <i>
      <x/>
    </i>
    <i t="grand">
      <x/>
    </i>
  </rowItems>
  <colItems count="1">
    <i/>
  </colItems>
  <dataFields count="1">
    <dataField name="Average of Table2[Battery Drain (mAh/day)]" fld="1" subtotal="average" baseField="0" baseItem="0" numFmtId="1"/>
  </dataFields>
  <formats count="1">
    <format dxfId="7">
      <pivotArea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_ExternalData_1">
        <x15:activeTabTopLevelEntity name="[Table_ExternalData_1]"/>
        <x15:activeTabTopLevelEntity name="[Table2]"/>
      </x15:pivotTableUISettings>
    </ext>
  </extLst>
</pivotTableDefinition>
</file>

<file path=xl/pivotTables/pivotTable5.xml><?xml version="1.0" encoding="utf-8"?>
<pivotTableDefinition xmlns="http://schemas.openxmlformats.org/spreadsheetml/2006/main" name="PivotTable22" cacheId="595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R31:S3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Average of Screen On Time (hours/day)" fld="1" subtotal="average" baseField="0" baseItem="0" numFmtId="164"/>
  </dataFields>
  <formats count="1">
    <format dxfId="8">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6.xml><?xml version="1.0" encoding="utf-8"?>
<pivotTableDefinition xmlns="http://schemas.openxmlformats.org/spreadsheetml/2006/main" name="PivotTable8" cacheId="5930" applyNumberFormats="0" applyBorderFormats="0" applyFontFormats="0" applyPatternFormats="0" applyAlignmentFormats="0" applyWidthHeightFormats="1" dataCaption="Values" tag="58469c3f-ce47-4b75-8299-3abfbbaf784a" updatedVersion="6" minRefreshableVersion="3" useAutoFormatting="1" subtotalHiddenItems="1" colGrandTotals="0" itemPrintTitles="1" createdVersion="6" indent="0" outline="1" outlineData="1" multipleFieldFilters="0" chartFormat="3" colHeaderCaption="Age-Range">
  <location ref="K11:P16" firstHeaderRow="1" firstDataRow="2" firstDataCol="1"/>
  <pivotFields count="3">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6">
        <item x="0"/>
        <item x="1"/>
        <item x="2"/>
        <item x="3"/>
        <item x="4"/>
        <item t="default"/>
      </items>
    </pivotField>
  </pivotFields>
  <rowFields count="1">
    <field x="0"/>
  </rowFields>
  <rowItems count="4">
    <i>
      <x/>
    </i>
    <i>
      <x v="1"/>
    </i>
    <i>
      <x v="2"/>
    </i>
    <i t="grand">
      <x/>
    </i>
  </rowItems>
  <colFields count="1">
    <field x="2"/>
  </colFields>
  <colItems count="5">
    <i>
      <x/>
    </i>
    <i>
      <x v="1"/>
    </i>
    <i>
      <x v="2"/>
    </i>
    <i>
      <x v="3"/>
    </i>
    <i>
      <x v="4"/>
    </i>
  </colItems>
  <dataFields count="1">
    <dataField name="Count of Age-Range" fld="1" subtotal="count" baseField="0" baseItem="0"/>
  </dataFields>
  <formats count="2">
    <format dxfId="10">
      <pivotArea outline="0" collapsedLevelsAreSubtotals="1" fieldPosition="0"/>
    </format>
    <format dxfId="9">
      <pivotArea dataOnly="0" labelOnly="1" fieldPosition="0">
        <references count="1">
          <reference field="2" count="0"/>
        </references>
      </pivotArea>
    </format>
  </formats>
  <chartFormats count="1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2" format="15" series="1">
      <pivotArea type="data" outline="0" fieldPosition="0">
        <references count="2">
          <reference field="4294967294" count="1" selected="0">
            <x v="0"/>
          </reference>
          <reference field="2" count="1" selected="0">
            <x v="0"/>
          </reference>
        </references>
      </pivotArea>
    </chartFormat>
    <chartFormat chart="2" format="16" series="1">
      <pivotArea type="data" outline="0" fieldPosition="0">
        <references count="2">
          <reference field="4294967294" count="1" selected="0">
            <x v="0"/>
          </reference>
          <reference field="2" count="1" selected="0">
            <x v="1"/>
          </reference>
        </references>
      </pivotArea>
    </chartFormat>
    <chartFormat chart="2" format="17" series="1">
      <pivotArea type="data" outline="0" fieldPosition="0">
        <references count="2">
          <reference field="4294967294" count="1" selected="0">
            <x v="0"/>
          </reference>
          <reference field="2" count="1" selected="0">
            <x v="2"/>
          </reference>
        </references>
      </pivotArea>
    </chartFormat>
    <chartFormat chart="2" format="18" series="1">
      <pivotArea type="data" outline="0" fieldPosition="0">
        <references count="2">
          <reference field="4294967294" count="1" selected="0">
            <x v="0"/>
          </reference>
          <reference field="2" count="1" selected="0">
            <x v="3"/>
          </reference>
        </references>
      </pivotArea>
    </chartFormat>
    <chartFormat chart="2" format="19" series="1">
      <pivotArea type="data" outline="0" fieldPosition="0">
        <references count="2">
          <reference field="4294967294" count="1" selected="0">
            <x v="0"/>
          </reference>
          <reference field="2" count="1" selected="0">
            <x v="4"/>
          </reference>
        </references>
      </pivotArea>
    </chartFormat>
    <chartFormat chart="2" format="2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7.xml><?xml version="1.0" encoding="utf-8"?>
<pivotTableDefinition xmlns="http://schemas.openxmlformats.org/spreadsheetml/2006/main" name="PivotTable4" cacheId="59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F3:I7" firstHeaderRow="1" firstDataRow="2" firstDataCol="1"/>
  <pivotFields count="4">
    <pivotField axis="axisCol"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Fields count="1">
    <field x="0"/>
  </colFields>
  <colItems count="3">
    <i>
      <x/>
    </i>
    <i>
      <x v="1"/>
    </i>
    <i t="grand">
      <x/>
    </i>
  </colItems>
  <dataFields count="1">
    <dataField name="Count of Gender" fld="2" subtotal="count" baseField="0" baseItem="0"/>
  </dataFields>
  <chartFormats count="2">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8.xml><?xml version="1.0" encoding="utf-8"?>
<pivotTableDefinition xmlns="http://schemas.openxmlformats.org/spreadsheetml/2006/main" name="PivotTable7" cacheId="5927" applyNumberFormats="0" applyBorderFormats="0" applyFontFormats="0" applyPatternFormats="0" applyAlignmentFormats="0" applyWidthHeightFormats="1" dataCaption="Values" tag="82fc3f20-d677-4652-924d-c0ba6a722669" updatedVersion="6" minRefreshableVersion="3" useAutoFormatting="1" subtotalHiddenItems="1" itemPrintTitles="1" createdVersion="6" indent="0" outline="1" outlineData="1" multipleFieldFilters="0" chartFormat="3">
  <location ref="K4:L8"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User ID" fld="1" subtotal="count" baseField="0" baseItem="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52:S59" firstHeaderRow="1" firstDataRow="2" firstDataCol="1"/>
  <pivotFields count="14">
    <pivotField showAll="0"/>
    <pivotField axis="axisRow" showAll="0" sortType="descending">
      <items count="6">
        <item x="0"/>
        <item x="3"/>
        <item x="1"/>
        <item x="4"/>
        <item x="2"/>
        <item t="default"/>
      </items>
      <autoSortScope>
        <pivotArea dataOnly="0" outline="0" fieldPosition="0">
          <references count="2">
            <reference field="4294967294" count="1" selected="0">
              <x v="0"/>
            </reference>
            <reference field="9" count="1" selected="0">
              <x v="1"/>
            </reference>
          </references>
        </pivotArea>
      </autoSortScope>
    </pivotField>
    <pivotField showAll="0"/>
    <pivotField showAll="0"/>
    <pivotField showAll="0"/>
    <pivotField showAll="0"/>
    <pivotField showAll="0"/>
    <pivotField showAll="0"/>
    <pivotField showAll="0"/>
    <pivotField axis="axisCol" dataField="1" showAll="0">
      <items count="6">
        <item x="2"/>
        <item x="3"/>
        <item x="0"/>
        <item x="1"/>
        <item x="4"/>
        <item t="default"/>
      </items>
    </pivotField>
    <pivotField showAll="0"/>
    <pivotField showAll="0"/>
    <pivotField showAll="0"/>
    <pivotField showAll="0"/>
  </pivotFields>
  <rowFields count="1">
    <field x="1"/>
  </rowFields>
  <rowItems count="6">
    <i>
      <x v="4"/>
    </i>
    <i>
      <x/>
    </i>
    <i>
      <x v="1"/>
    </i>
    <i>
      <x v="3"/>
    </i>
    <i>
      <x v="2"/>
    </i>
    <i t="grand">
      <x/>
    </i>
  </rowItems>
  <colFields count="1">
    <field x="9"/>
  </colFields>
  <colItems count="6">
    <i>
      <x/>
    </i>
    <i>
      <x v="1"/>
    </i>
    <i>
      <x v="2"/>
    </i>
    <i>
      <x v="3"/>
    </i>
    <i>
      <x v="4"/>
    </i>
    <i t="grand">
      <x/>
    </i>
  </colItems>
  <dataFields count="1">
    <dataField name="Count of Age-Rang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59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60:J66"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Average of App Usage Time (min/day)" fld="1" subtotal="average" baseField="0" baseItem="0" numFmtId="1"/>
  </dataFields>
  <formats count="1">
    <format dxfId="11">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1.xml><?xml version="1.0" encoding="utf-8"?>
<pivotTableDefinition xmlns="http://schemas.openxmlformats.org/spreadsheetml/2006/main" name="PivotTable3" cacheId="59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rowHeaderCaption="Device Models">
  <location ref="B13:C19"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1"/>
    </i>
    <i>
      <x v="4"/>
    </i>
    <i>
      <x v="3"/>
    </i>
    <i>
      <x/>
    </i>
    <i>
      <x v="2"/>
    </i>
    <i t="grand">
      <x/>
    </i>
  </rowItems>
  <colItems count="1">
    <i/>
  </colItems>
  <dataFields count="1">
    <dataField name="Distinct Count of Number of Apps Installed" fld="1" subtotal="count" baseField="0" baseItem="0">
      <extLst>
        <ext xmlns:x15="http://schemas.microsoft.com/office/spreadsheetml/2010/11/main" uri="{FABC7310-3BB5-11E1-824E-6D434824019B}">
          <x15:dataField isCountDistinct="1"/>
        </ext>
      </extLst>
    </dataField>
  </dataFields>
  <chartFormats count="1">
    <chartFormat chart="2"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2.xml><?xml version="1.0" encoding="utf-8"?>
<pivotTableDefinition xmlns="http://schemas.openxmlformats.org/spreadsheetml/2006/main" name="PivotTable6" cacheId="594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F49:F50"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User ID" fld="0" subtotal="count" baseField="0" baseItem="325254816">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3.xml><?xml version="1.0" encoding="utf-8"?>
<pivotTableDefinition xmlns="http://schemas.openxmlformats.org/spreadsheetml/2006/main" name="PivotTable10" cacheId="5909" applyNumberFormats="0" applyBorderFormats="0" applyFontFormats="0" applyPatternFormats="0" applyAlignmentFormats="0" applyWidthHeightFormats="1" dataCaption="Values" tag="12c438af-ffd7-458a-8cee-25955a92d5f2" updatedVersion="6" minRefreshableVersion="3" useAutoFormatting="1" subtotalHiddenItems="1" itemPrintTitles="1" createdVersion="6" indent="0" outline="1" outlineData="1" multipleFieldFilters="0" chartFormat="3">
  <location ref="F41:G44"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Average of Data Usage (MB/day)" fld="1" subtotal="average" baseField="0" baseItem="0"/>
  </dataFields>
  <formats count="1">
    <format dxfId="12">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4.xml><?xml version="1.0" encoding="utf-8"?>
<pivotTableDefinition xmlns="http://schemas.openxmlformats.org/spreadsheetml/2006/main" name="PivotTable5" cacheId="5924" applyNumberFormats="0" applyBorderFormats="0" applyFontFormats="0" applyPatternFormats="0" applyAlignmentFormats="0" applyWidthHeightFormats="1" dataCaption="Values" tag="3ed3d1b2-0669-4846-8241-5ecd70ca329c" updatedVersion="6" minRefreshableVersion="3" useAutoFormatting="1" subtotalHiddenItems="1" itemPrintTitles="1" createdVersion="6" indent="0" outline="1" outlineData="1" multipleFieldFilters="0" chartFormat="3">
  <location ref="F11:G17"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Average of App Usage Time (min/day)" fld="1" subtotal="average" baseField="0" baseItem="0" numFmtId="1"/>
  </dataFields>
  <formats count="1">
    <format dxfId="13">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5.xml><?xml version="1.0" encoding="utf-8"?>
<pivotTableDefinition xmlns="http://schemas.openxmlformats.org/spreadsheetml/2006/main" name="PivotTable9" cacheId="5933" applyNumberFormats="0" applyBorderFormats="0" applyFontFormats="0" applyPatternFormats="0" applyAlignmentFormats="0" applyWidthHeightFormats="1" dataCaption="Values" tag="5add4256-4501-4891-ad0c-b273e423b326" updatedVersion="6" minRefreshableVersion="3" useAutoFormatting="1" subtotalHiddenItems="1" itemPrintTitles="1" createdVersion="6" indent="0" outline="1" outlineData="1" multipleFieldFilters="0" chartFormat="3">
  <location ref="B41:C44"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Us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6.xml><?xml version="1.0" encoding="utf-8"?>
<pivotTableDefinition xmlns="http://schemas.openxmlformats.org/spreadsheetml/2006/main" name="PivotTable12" cacheId="5915" applyNumberFormats="0" applyBorderFormats="0" applyFontFormats="0" applyPatternFormats="0" applyAlignmentFormats="0" applyWidthHeightFormats="1" dataCaption="Values" tag="7c6ea224-a870-41e3-82ba-6f8288e95c39" updatedVersion="6" minRefreshableVersion="3" useAutoFormatting="1" subtotalHiddenItems="1" itemPrintTitles="1" createdVersion="6" indent="0" outline="1" outlineData="1" multipleFieldFilters="0">
  <location ref="M24:O27"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Average of Screen On Time (hours/day)" fld="1" subtotal="average" baseField="0" baseItem="0"/>
    <dataField name="Average of App Usage Time (min/day)" fld="2" subtotal="average" baseField="0" baseItem="0"/>
  </dataFields>
  <formats count="1">
    <format dxfId="14">
      <pivotArea collapsedLevelsAreSubtotals="1" fieldPosition="0">
        <references count="1">
          <reference field="0" count="0"/>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1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M41:N47" firstHeaderRow="1" firstDataRow="1" firstDataCol="1"/>
  <pivotFields count="14">
    <pivotField showAll="0"/>
    <pivotField axis="axisRow" showAll="0">
      <items count="6">
        <item x="0"/>
        <item x="3"/>
        <item x="1"/>
        <item x="4"/>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Battery Drain (mAh/day)" fld="5" subtotal="average" baseField="0" baseItem="0" numFmtId="1"/>
  </dataFields>
  <formats count="3">
    <format dxfId="16">
      <pivotArea collapsedLevelsAreSubtotals="1" fieldPosition="0">
        <references count="1">
          <reference field="1" count="1">
            <x v="0"/>
          </reference>
        </references>
      </pivotArea>
    </format>
    <format dxfId="15">
      <pivotArea collapsedLevelsAreSubtotals="1" fieldPosition="0">
        <references count="1">
          <reference field="1" count="0"/>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5" cacheId="593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B48:C54"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4"/>
    </i>
    <i>
      <x v="1"/>
    </i>
    <i>
      <x/>
    </i>
    <i>
      <x v="3"/>
    </i>
    <i>
      <x v="2"/>
    </i>
    <i t="grand">
      <x/>
    </i>
  </rowItems>
  <colItems count="1">
    <i/>
  </colItems>
  <dataFields count="1">
    <dataField name="Distinct Count of Table2[User ID]" fld="1"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Table2]"/>
      </x15:pivotTableUISettings>
    </ext>
  </extLst>
</pivotTableDefinition>
</file>

<file path=xl/pivotTables/pivotTable19.xml><?xml version="1.0" encoding="utf-8"?>
<pivotTableDefinition xmlns="http://schemas.openxmlformats.org/spreadsheetml/2006/main" name="PivotTable16" cacheId="595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C67:D73"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Average of Screen On Time (hours/day)" fld="0" subtotal="average" baseField="0" baseItem="0" numFmtId="1"/>
  </dataFields>
  <formats count="1">
    <format dxfId="17">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20.xml><?xml version="1.0" encoding="utf-8"?>
<pivotTableDefinition xmlns="http://schemas.openxmlformats.org/spreadsheetml/2006/main" name="PivotTable1" cacheId="593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I49:J55"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4"/>
    </i>
    <i>
      <x v="1"/>
    </i>
    <i>
      <x/>
    </i>
    <i>
      <x v="3"/>
    </i>
    <i>
      <x v="2"/>
    </i>
    <i t="grand">
      <x/>
    </i>
  </rowItems>
  <colItems count="1">
    <i/>
  </colItems>
  <dataFields count="1">
    <dataField name="Count of Table2[Device Model]"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_ExternalData_1">
        <x15:activeTabTopLevelEntity name="[Table_ExternalData_1]"/>
      </x15:pivotTableUISettings>
    </ext>
  </extLst>
</pivotTableDefinition>
</file>

<file path=xl/pivotTables/pivotTable21.xml><?xml version="1.0" encoding="utf-8"?>
<pivotTableDefinition xmlns="http://schemas.openxmlformats.org/spreadsheetml/2006/main" name="PivotTable17" cacheId="59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71:J77"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Average of Screen On Time (hours/day)" fld="1"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22.xml><?xml version="1.0" encoding="utf-8"?>
<pivotTableDefinition xmlns="http://schemas.openxmlformats.org/spreadsheetml/2006/main" name="PivotTable11" cacheId="5912" applyNumberFormats="0" applyBorderFormats="0" applyFontFormats="0" applyPatternFormats="0" applyAlignmentFormats="0" applyWidthHeightFormats="1" dataCaption="Values" tag="12878219-1970-4e88-99a5-cce9a4e94e7e" updatedVersion="6" minRefreshableVersion="3" useAutoFormatting="1" subtotalHiddenItems="1" itemPrintTitles="1" createdVersion="6" indent="0" outline="1" outlineData="1" multipleFieldFilters="0" chartFormat="3">
  <location ref="J41:K45"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Average of Number of Apps Installed" fld="1" subtotal="average" baseField="0" baseItem="0" numFmtId="1"/>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2" format="16"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2">
        <x15:activeTabTopLevelEntity name="[Table2]"/>
      </x15:pivotTableUISettings>
    </ext>
  </extLst>
</pivotTableDefinition>
</file>

<file path=xl/pivotTables/pivotTable23.xml><?xml version="1.0" encoding="utf-8"?>
<pivotTableDefinition xmlns="http://schemas.openxmlformats.org/spreadsheetml/2006/main" name="PivotTable1" cacheId="594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X12:BZ29" firstHeaderRow="1" firstDataRow="1" firstDataCol="0"/>
  <pivotFields count="1">
    <pivotField allDrilled="1" showAll="0" dataSourceSort="1" defaultAttributeDrillState="1">
      <items count="1">
        <item t="default"/>
      </items>
    </pivotField>
  </pivotFields>
  <formats count="4">
    <format dxfId="4">
      <pivotArea type="all" dataOnly="0" outline="0" fieldPosition="0"/>
    </format>
    <format dxfId="3">
      <pivotArea type="all" dataOnly="0" outline="0" fieldPosition="0"/>
    </format>
    <format dxfId="2">
      <pivotArea type="all" dataOnly="0" outline="0" fieldPosition="0"/>
    </format>
    <format dxfId="1">
      <pivotArea type="all" dataOnly="0" outline="0"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ser_behavior_dataset.xlsx!Table_ExternalData_1">
        <x15:activeTabTopLevelEntity name="[Table_ExternalData_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vice_Model" sourceName="[Table2].[Device Model]">
  <pivotTables>
    <pivotTable tabId="3" name="PivotTable10"/>
    <pivotTable tabId="3" name="PivotTable11"/>
    <pivotTable tabId="3" name="PivotTable12"/>
    <pivotTable tabId="3" name="PivotTable3"/>
    <pivotTable tabId="3" name="PivotTable4"/>
    <pivotTable tabId="3" name="PivotTable5"/>
    <pivotTable tabId="3" name="PivotTable7"/>
    <pivotTable tabId="3" name="PivotTable8"/>
    <pivotTable tabId="3" name="PivotTable9"/>
    <pivotTable tabId="3" name="PivotTable15"/>
    <pivotTable tabId="3" name="PivotTable6"/>
    <pivotTable tabId="3" name="PivotTable1"/>
    <pivotTable tabId="3" name="PivotTable19"/>
    <pivotTable tabId="4" name="PivotTable1"/>
    <pivotTable tabId="3" name="PivotTable16"/>
    <pivotTable tabId="3" name="PivotTable22"/>
    <pivotTable tabId="3" name="PivotTable17"/>
    <pivotTable tabId="3" name="PivotTable18"/>
    <pivotTable tabId="3" name="PivotTable23"/>
    <pivotTable tabId="3" name="PivotTable24"/>
  </pivotTables>
  <data>
    <olap pivotCacheId="3">
      <levels count="2">
        <level uniqueName="[Table2].[Device Model].[(All)]" sourceCaption="(All)" count="0"/>
        <level uniqueName="[Table2].[Device Model].[Device Model]" sourceCaption="Device Model" count="5">
          <ranges>
            <range startItem="0">
              <i n="[Table2].[Device Model].&amp;[Google Pixel 5]" c="Google Pixel 5"/>
              <i n="[Table2].[Device Model].&amp;[iPhone 12]" c="iPhone 12"/>
              <i n="[Table2].[Device Model].&amp;[OnePlus 9]" c="OnePlus 9"/>
              <i n="[Table2].[Device Model].&amp;[Samsung Galaxy S21]" c="Samsung Galaxy S21"/>
              <i n="[Table2].[Device Model].&amp;[Xiaomi Mi 11]" c="Xiaomi Mi 11"/>
            </range>
          </ranges>
        </level>
      </levels>
      <selections count="1">
        <selection n="[Table2].[Device Mod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perating_System" sourceName="[Table2].[Operating System]">
  <pivotTables>
    <pivotTable tabId="3" name="PivotTable10"/>
    <pivotTable tabId="3" name="PivotTable11"/>
    <pivotTable tabId="3" name="PivotTable12"/>
    <pivotTable tabId="3" name="PivotTable3"/>
    <pivotTable tabId="3" name="PivotTable4"/>
    <pivotTable tabId="3" name="PivotTable5"/>
    <pivotTable tabId="3" name="PivotTable7"/>
    <pivotTable tabId="3" name="PivotTable8"/>
    <pivotTable tabId="3" name="PivotTable9"/>
    <pivotTable tabId="3" name="PivotTable15"/>
    <pivotTable tabId="3" name="PivotTable6"/>
    <pivotTable tabId="3" name="PivotTable1"/>
    <pivotTable tabId="3" name="PivotTable19"/>
    <pivotTable tabId="4" name="PivotTable1"/>
    <pivotTable tabId="3" name="PivotTable14"/>
    <pivotTable tabId="3" name="PivotTable16"/>
    <pivotTable tabId="3" name="PivotTable22"/>
    <pivotTable tabId="3" name="PivotTable17"/>
    <pivotTable tabId="3" name="PivotTable18"/>
    <pivotTable tabId="3" name="PivotTable23"/>
    <pivotTable tabId="3" name="PivotTable24"/>
  </pivotTables>
  <data>
    <olap pivotCacheId="3">
      <levels count="2">
        <level uniqueName="[Table2].[Operating System].[(All)]" sourceCaption="(All)" count="0"/>
        <level uniqueName="[Table2].[Operating System].[Operating System]" sourceCaption="Operating System" count="2">
          <ranges>
            <range startItem="0">
              <i n="[Table2].[Operating System].&amp;[Android]" c="Android"/>
              <i n="[Table2].[Operating System].&amp;[iOS]" c="iOS"/>
            </range>
          </ranges>
        </level>
      </levels>
      <selections count="1">
        <selection n="[Table2].[Operating Syste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User_Behaviour_Classification" sourceName="[Table2].[User Behaviour Classification]">
  <pivotTables>
    <pivotTable tabId="3" name="PivotTable10"/>
    <pivotTable tabId="3" name="PivotTable11"/>
    <pivotTable tabId="3" name="PivotTable12"/>
    <pivotTable tabId="3" name="PivotTable3"/>
    <pivotTable tabId="3" name="PivotTable4"/>
    <pivotTable tabId="3" name="PivotTable5"/>
    <pivotTable tabId="3" name="PivotTable7"/>
    <pivotTable tabId="3" name="PivotTable8"/>
    <pivotTable tabId="3" name="PivotTable9"/>
    <pivotTable tabId="3" name="PivotTable15"/>
    <pivotTable tabId="3" name="PivotTable6"/>
    <pivotTable tabId="3" name="PivotTable1"/>
    <pivotTable tabId="3" name="PivotTable19"/>
    <pivotTable tabId="4" name="PivotTable1"/>
    <pivotTable tabId="3" name="PivotTable14"/>
    <pivotTable tabId="3" name="PivotTable16"/>
    <pivotTable tabId="3" name="PivotTable22"/>
    <pivotTable tabId="3" name="PivotTable17"/>
    <pivotTable tabId="3" name="PivotTable18"/>
    <pivotTable tabId="3" name="PivotTable23"/>
    <pivotTable tabId="3" name="PivotTable24"/>
  </pivotTables>
  <data>
    <olap pivotCacheId="3">
      <levels count="2">
        <level uniqueName="[Table2].[User Behaviour Classification].[(All)]" sourceCaption="(All)" count="0"/>
        <level uniqueName="[Table2].[User Behaviour Classification].[User Behaviour Classification]" sourceCaption="User Behaviour Classification" count="3">
          <ranges>
            <range startItem="0">
              <i n="[Table2].[User Behaviour Classification].&amp;[Heavy User]" c="Heavy User"/>
              <i n="[Table2].[User Behaviour Classification].&amp;[Light User]" c="Light User"/>
              <i n="[Table2].[User Behaviour Classification].&amp;[Moderate User]" c="Moderate User"/>
            </range>
          </ranges>
        </level>
      </levels>
      <selections count="1">
        <selection n="[Table2].[User Behaviour Classifi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Range" sourceName="[Table2].[Age-Range]">
  <pivotTables>
    <pivotTable tabId="3" name="PivotTable10"/>
    <pivotTable tabId="3" name="PivotTable11"/>
    <pivotTable tabId="3" name="PivotTable12"/>
    <pivotTable tabId="3" name="PivotTable3"/>
    <pivotTable tabId="3" name="PivotTable4"/>
    <pivotTable tabId="3" name="PivotTable5"/>
    <pivotTable tabId="3" name="PivotTable7"/>
    <pivotTable tabId="3" name="PivotTable8"/>
    <pivotTable tabId="3" name="PivotTable9"/>
    <pivotTable tabId="3" name="PivotTable1"/>
    <pivotTable tabId="3" name="PivotTable15"/>
    <pivotTable tabId="3" name="PivotTable6"/>
    <pivotTable tabId="4" name="PivotTable1"/>
    <pivotTable tabId="3" name="PivotTable19"/>
    <pivotTable tabId="3" name="PivotTable14"/>
    <pivotTable tabId="3" name="PivotTable16"/>
    <pivotTable tabId="3" name="PivotTable22"/>
    <pivotTable tabId="3" name="PivotTable17"/>
    <pivotTable tabId="3" name="PivotTable18"/>
    <pivotTable tabId="3" name="PivotTable23"/>
    <pivotTable tabId="3" name="PivotTable24"/>
  </pivotTables>
  <data>
    <olap pivotCacheId="3">
      <levels count="2">
        <level uniqueName="[Table2].[Age-Range].[(All)]" sourceCaption="(All)" count="0"/>
        <level uniqueName="[Table2].[Age-Range].[Age-Range]" sourceCaption="Age-Range" count="5">
          <ranges>
            <range startItem="0">
              <i n="[Table2].[Age-Range].&amp;[18 - 24]" c="18 - 24"/>
              <i n="[Table2].[Age-Range].&amp;[25 - 34]" c="25 - 34"/>
              <i n="[Table2].[Age-Range].&amp;[35 - 44]" c="35 - 44"/>
              <i n="[Table2].[Age-Range].&amp;[45 - 54]" c="45 - 54"/>
              <i n="[Table2].[Age-Range].&amp;[55 - 59]" c="55 - 59"/>
            </range>
          </ranges>
        </level>
      </levels>
      <selections count="1">
        <selection n="[Table2].[Age-Ran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vice Model" cache="Slicer_Device_Model" caption="Device Model" level="1" style="SlicerStyleOther2" rowHeight="182880"/>
  <slicer name="Operating System" cache="Slicer_Operating_System" caption="Operating System" level="1" style="SlicerStyleLight5" rowHeight="182880"/>
  <slicer name="User Behaviour Classification" cache="Slicer_User_Behaviour_Classification" caption="User Behaviour Classification" level="1" style="SlicerStyleLight5" rowHeight="182880"/>
  <slicer name="Age-Range" cache="Slicer_Age_Range" caption="Age-Range" level="1" style="SlicerStyleLight5" rowHeight="182880"/>
</slicers>
</file>

<file path=xl/tables/table1.xml><?xml version="1.0" encoding="utf-8"?>
<table xmlns="http://schemas.openxmlformats.org/spreadsheetml/2006/main" id="2" name="Table2" displayName="Table2" ref="A1:N701" totalsRowShown="0">
  <autoFilter ref="A1:N701"/>
  <tableColumns count="14">
    <tableColumn id="1" name="User ID"/>
    <tableColumn id="2" name="Device Model"/>
    <tableColumn id="3" name="Operating System"/>
    <tableColumn id="4" name="App Usage Time (min/day)"/>
    <tableColumn id="5" name="Screen On Time (hours/day)"/>
    <tableColumn id="6" name="Battery Drain (mAh/day)"/>
    <tableColumn id="7" name="Number of Apps Installed"/>
    <tableColumn id="8" name="Data Usage (MB/day)"/>
    <tableColumn id="9" name="Age"/>
    <tableColumn id="14" name="Age-Range" dataDxfId="19">
      <calculatedColumnFormula>IF(Table2[[#This Row],[Age]]&lt;=24, "18 - 24", IF(Table2[[#This Row],[Age]]&lt;=34, "25 - 34", IF(Table2[[#This Row],[Age]]&lt;=44, "35 - 44", IF(Table2[[#This Row],[Age]]&lt;=54, "45 - 54", "55 - 59"))))</calculatedColumnFormula>
    </tableColumn>
    <tableColumn id="15" name="Group-Label" dataDxfId="18">
      <calculatedColumnFormula>IF(Table2[[#This Row],[Age]]&lt;=24, "Young Adults", IF(Table2[[#This Row],[Age]]&lt;=34, "Early Career", IF(Table2[[#This Row],[Age]]&lt;=44, "Mid Career", IF(Table2[[#This Row],[Age]]&lt;=54, "Mature Adults", "Pre-retirment"))))</calculatedColumnFormula>
    </tableColumn>
    <tableColumn id="10" name="Gender"/>
    <tableColumn id="11" name="User Behavior Class"/>
    <tableColumn id="12" name="User Behaviour Classification">
      <calculatedColumnFormula>IF(M2&lt;=2, "Light User", IF(M2=3, "Moderate User", "Heavy User"))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1"/>
  <sheetViews>
    <sheetView workbookViewId="0">
      <selection activeCell="O5" sqref="O5"/>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393</v>
      </c>
      <c r="E2">
        <v>6.4</v>
      </c>
      <c r="F2">
        <v>1872</v>
      </c>
      <c r="G2">
        <v>67</v>
      </c>
      <c r="H2">
        <v>1122</v>
      </c>
      <c r="I2">
        <v>40</v>
      </c>
      <c r="J2" t="s">
        <v>13</v>
      </c>
      <c r="K2">
        <v>4</v>
      </c>
    </row>
    <row r="3" spans="1:11" x14ac:dyDescent="0.25">
      <c r="A3">
        <v>2</v>
      </c>
      <c r="B3" t="s">
        <v>14</v>
      </c>
      <c r="C3" t="s">
        <v>12</v>
      </c>
      <c r="D3">
        <v>268</v>
      </c>
      <c r="E3">
        <v>4.7</v>
      </c>
      <c r="F3">
        <v>1331</v>
      </c>
      <c r="G3">
        <v>42</v>
      </c>
      <c r="H3">
        <v>944</v>
      </c>
      <c r="I3">
        <v>47</v>
      </c>
      <c r="J3" t="s">
        <v>15</v>
      </c>
      <c r="K3">
        <v>3</v>
      </c>
    </row>
    <row r="4" spans="1:11" x14ac:dyDescent="0.25">
      <c r="A4">
        <v>3</v>
      </c>
      <c r="B4" t="s">
        <v>16</v>
      </c>
      <c r="C4" t="s">
        <v>12</v>
      </c>
      <c r="D4">
        <v>154</v>
      </c>
      <c r="E4">
        <v>4</v>
      </c>
      <c r="F4">
        <v>761</v>
      </c>
      <c r="G4">
        <v>32</v>
      </c>
      <c r="H4">
        <v>322</v>
      </c>
      <c r="I4">
        <v>42</v>
      </c>
      <c r="J4" t="s">
        <v>13</v>
      </c>
      <c r="K4">
        <v>2</v>
      </c>
    </row>
    <row r="5" spans="1:11" x14ac:dyDescent="0.25">
      <c r="A5">
        <v>4</v>
      </c>
      <c r="B5" t="s">
        <v>11</v>
      </c>
      <c r="C5" t="s">
        <v>12</v>
      </c>
      <c r="D5">
        <v>239</v>
      </c>
      <c r="E5">
        <v>4.8</v>
      </c>
      <c r="F5">
        <v>1676</v>
      </c>
      <c r="G5">
        <v>56</v>
      </c>
      <c r="H5">
        <v>871</v>
      </c>
      <c r="I5">
        <v>20</v>
      </c>
      <c r="J5" t="s">
        <v>13</v>
      </c>
      <c r="K5">
        <v>3</v>
      </c>
    </row>
    <row r="6" spans="1:11" x14ac:dyDescent="0.25">
      <c r="A6">
        <v>5</v>
      </c>
      <c r="B6" t="s">
        <v>17</v>
      </c>
      <c r="C6" t="s">
        <v>18</v>
      </c>
      <c r="D6">
        <v>187</v>
      </c>
      <c r="E6">
        <v>4.3</v>
      </c>
      <c r="F6">
        <v>1367</v>
      </c>
      <c r="G6">
        <v>58</v>
      </c>
      <c r="H6">
        <v>988</v>
      </c>
      <c r="I6">
        <v>31</v>
      </c>
      <c r="J6" t="s">
        <v>15</v>
      </c>
      <c r="K6">
        <v>3</v>
      </c>
    </row>
    <row r="7" spans="1:11" x14ac:dyDescent="0.25">
      <c r="A7">
        <v>6</v>
      </c>
      <c r="B7" t="s">
        <v>11</v>
      </c>
      <c r="C7" t="s">
        <v>12</v>
      </c>
      <c r="D7">
        <v>99</v>
      </c>
      <c r="E7">
        <v>2</v>
      </c>
      <c r="F7">
        <v>940</v>
      </c>
      <c r="G7">
        <v>35</v>
      </c>
      <c r="H7">
        <v>564</v>
      </c>
      <c r="I7">
        <v>31</v>
      </c>
      <c r="J7" t="s">
        <v>13</v>
      </c>
      <c r="K7">
        <v>2</v>
      </c>
    </row>
    <row r="8" spans="1:11" x14ac:dyDescent="0.25">
      <c r="A8">
        <v>7</v>
      </c>
      <c r="B8" t="s">
        <v>19</v>
      </c>
      <c r="C8" t="s">
        <v>12</v>
      </c>
      <c r="D8">
        <v>350</v>
      </c>
      <c r="E8">
        <v>7.3</v>
      </c>
      <c r="F8">
        <v>1802</v>
      </c>
      <c r="G8">
        <v>66</v>
      </c>
      <c r="H8">
        <v>1054</v>
      </c>
      <c r="I8">
        <v>21</v>
      </c>
      <c r="J8" t="s">
        <v>15</v>
      </c>
      <c r="K8">
        <v>4</v>
      </c>
    </row>
    <row r="9" spans="1:11" x14ac:dyDescent="0.25">
      <c r="A9">
        <v>8</v>
      </c>
      <c r="B9" t="s">
        <v>14</v>
      </c>
      <c r="C9" t="s">
        <v>12</v>
      </c>
      <c r="D9">
        <v>543</v>
      </c>
      <c r="E9">
        <v>11.4</v>
      </c>
      <c r="F9">
        <v>2956</v>
      </c>
      <c r="G9">
        <v>82</v>
      </c>
      <c r="H9">
        <v>1702</v>
      </c>
      <c r="I9">
        <v>31</v>
      </c>
      <c r="J9" t="s">
        <v>13</v>
      </c>
      <c r="K9">
        <v>5</v>
      </c>
    </row>
    <row r="10" spans="1:11" x14ac:dyDescent="0.25">
      <c r="A10">
        <v>9</v>
      </c>
      <c r="B10" t="s">
        <v>19</v>
      </c>
      <c r="C10" t="s">
        <v>12</v>
      </c>
      <c r="D10">
        <v>340</v>
      </c>
      <c r="E10">
        <v>7.7</v>
      </c>
      <c r="F10">
        <v>2138</v>
      </c>
      <c r="G10">
        <v>75</v>
      </c>
      <c r="H10">
        <v>1053</v>
      </c>
      <c r="I10">
        <v>42</v>
      </c>
      <c r="J10" t="s">
        <v>15</v>
      </c>
      <c r="K10">
        <v>4</v>
      </c>
    </row>
    <row r="11" spans="1:11" x14ac:dyDescent="0.25">
      <c r="A11">
        <v>10</v>
      </c>
      <c r="B11" t="s">
        <v>17</v>
      </c>
      <c r="C11" t="s">
        <v>18</v>
      </c>
      <c r="D11">
        <v>424</v>
      </c>
      <c r="E11">
        <v>6.6</v>
      </c>
      <c r="F11">
        <v>1957</v>
      </c>
      <c r="G11">
        <v>75</v>
      </c>
      <c r="H11">
        <v>1301</v>
      </c>
      <c r="I11">
        <v>42</v>
      </c>
      <c r="J11" t="s">
        <v>13</v>
      </c>
      <c r="K11">
        <v>4</v>
      </c>
    </row>
    <row r="12" spans="1:11" x14ac:dyDescent="0.25">
      <c r="A12">
        <v>11</v>
      </c>
      <c r="B12" t="s">
        <v>11</v>
      </c>
      <c r="C12" t="s">
        <v>12</v>
      </c>
      <c r="D12">
        <v>53</v>
      </c>
      <c r="E12">
        <v>1.4</v>
      </c>
      <c r="F12">
        <v>435</v>
      </c>
      <c r="G12">
        <v>17</v>
      </c>
      <c r="H12">
        <v>162</v>
      </c>
      <c r="I12">
        <v>34</v>
      </c>
      <c r="J12" t="s">
        <v>15</v>
      </c>
      <c r="K12">
        <v>1</v>
      </c>
    </row>
    <row r="13" spans="1:11" x14ac:dyDescent="0.25">
      <c r="A13">
        <v>12</v>
      </c>
      <c r="B13" t="s">
        <v>14</v>
      </c>
      <c r="C13" t="s">
        <v>12</v>
      </c>
      <c r="D13">
        <v>215</v>
      </c>
      <c r="E13">
        <v>5.5</v>
      </c>
      <c r="F13">
        <v>1690</v>
      </c>
      <c r="G13">
        <v>47</v>
      </c>
      <c r="H13">
        <v>641</v>
      </c>
      <c r="I13">
        <v>24</v>
      </c>
      <c r="J13" t="s">
        <v>13</v>
      </c>
      <c r="K13">
        <v>3</v>
      </c>
    </row>
    <row r="14" spans="1:11" x14ac:dyDescent="0.25">
      <c r="A14">
        <v>13</v>
      </c>
      <c r="B14" t="s">
        <v>14</v>
      </c>
      <c r="C14" t="s">
        <v>12</v>
      </c>
      <c r="D14">
        <v>462</v>
      </c>
      <c r="E14">
        <v>6.2</v>
      </c>
      <c r="F14">
        <v>2303</v>
      </c>
      <c r="G14">
        <v>65</v>
      </c>
      <c r="H14">
        <v>1099</v>
      </c>
      <c r="I14">
        <v>57</v>
      </c>
      <c r="J14" t="s">
        <v>15</v>
      </c>
      <c r="K14">
        <v>4</v>
      </c>
    </row>
    <row r="15" spans="1:11" x14ac:dyDescent="0.25">
      <c r="A15">
        <v>14</v>
      </c>
      <c r="B15" t="s">
        <v>16</v>
      </c>
      <c r="C15" t="s">
        <v>12</v>
      </c>
      <c r="D15">
        <v>215</v>
      </c>
      <c r="E15">
        <v>4.9000000000000004</v>
      </c>
      <c r="F15">
        <v>1662</v>
      </c>
      <c r="G15">
        <v>43</v>
      </c>
      <c r="H15">
        <v>857</v>
      </c>
      <c r="I15">
        <v>43</v>
      </c>
      <c r="J15" t="s">
        <v>13</v>
      </c>
      <c r="K15">
        <v>3</v>
      </c>
    </row>
    <row r="16" spans="1:11" x14ac:dyDescent="0.25">
      <c r="A16">
        <v>15</v>
      </c>
      <c r="B16" t="s">
        <v>17</v>
      </c>
      <c r="C16" t="s">
        <v>18</v>
      </c>
      <c r="D16">
        <v>189</v>
      </c>
      <c r="E16">
        <v>5.4</v>
      </c>
      <c r="F16">
        <v>1754</v>
      </c>
      <c r="G16">
        <v>53</v>
      </c>
      <c r="H16">
        <v>779</v>
      </c>
      <c r="I16">
        <v>49</v>
      </c>
      <c r="J16" t="s">
        <v>15</v>
      </c>
      <c r="K16">
        <v>3</v>
      </c>
    </row>
    <row r="17" spans="1:11" x14ac:dyDescent="0.25">
      <c r="A17">
        <v>16</v>
      </c>
      <c r="B17" t="s">
        <v>11</v>
      </c>
      <c r="C17" t="s">
        <v>12</v>
      </c>
      <c r="D17">
        <v>503</v>
      </c>
      <c r="E17">
        <v>10.4</v>
      </c>
      <c r="F17">
        <v>2571</v>
      </c>
      <c r="G17">
        <v>84</v>
      </c>
      <c r="H17">
        <v>2025</v>
      </c>
      <c r="I17">
        <v>39</v>
      </c>
      <c r="J17" t="s">
        <v>15</v>
      </c>
      <c r="K17">
        <v>5</v>
      </c>
    </row>
    <row r="18" spans="1:11" x14ac:dyDescent="0.25">
      <c r="A18">
        <v>17</v>
      </c>
      <c r="B18" t="s">
        <v>14</v>
      </c>
      <c r="C18" t="s">
        <v>12</v>
      </c>
      <c r="D18">
        <v>132</v>
      </c>
      <c r="E18">
        <v>3.6</v>
      </c>
      <c r="F18">
        <v>628</v>
      </c>
      <c r="G18">
        <v>32</v>
      </c>
      <c r="H18">
        <v>344</v>
      </c>
      <c r="I18">
        <v>47</v>
      </c>
      <c r="J18" t="s">
        <v>15</v>
      </c>
      <c r="K18">
        <v>2</v>
      </c>
    </row>
    <row r="19" spans="1:11" x14ac:dyDescent="0.25">
      <c r="A19">
        <v>18</v>
      </c>
      <c r="B19" t="s">
        <v>17</v>
      </c>
      <c r="C19" t="s">
        <v>18</v>
      </c>
      <c r="D19">
        <v>299</v>
      </c>
      <c r="E19">
        <v>5.8</v>
      </c>
      <c r="F19">
        <v>1431</v>
      </c>
      <c r="G19">
        <v>41</v>
      </c>
      <c r="H19">
        <v>985</v>
      </c>
      <c r="I19">
        <v>44</v>
      </c>
      <c r="J19" t="s">
        <v>15</v>
      </c>
      <c r="K19">
        <v>3</v>
      </c>
    </row>
    <row r="20" spans="1:11" x14ac:dyDescent="0.25">
      <c r="A20">
        <v>19</v>
      </c>
      <c r="B20" t="s">
        <v>11</v>
      </c>
      <c r="C20" t="s">
        <v>12</v>
      </c>
      <c r="D20">
        <v>81</v>
      </c>
      <c r="E20">
        <v>1.4</v>
      </c>
      <c r="F20">
        <v>558</v>
      </c>
      <c r="G20">
        <v>16</v>
      </c>
      <c r="H20">
        <v>297</v>
      </c>
      <c r="I20">
        <v>26</v>
      </c>
      <c r="J20" t="s">
        <v>15</v>
      </c>
      <c r="K20">
        <v>1</v>
      </c>
    </row>
    <row r="21" spans="1:11" x14ac:dyDescent="0.25">
      <c r="A21">
        <v>20</v>
      </c>
      <c r="B21" t="s">
        <v>17</v>
      </c>
      <c r="C21" t="s">
        <v>18</v>
      </c>
      <c r="D21">
        <v>577</v>
      </c>
      <c r="E21">
        <v>8.5</v>
      </c>
      <c r="F21">
        <v>2774</v>
      </c>
      <c r="G21">
        <v>89</v>
      </c>
      <c r="H21">
        <v>2192</v>
      </c>
      <c r="I21">
        <v>29</v>
      </c>
      <c r="J21" t="s">
        <v>15</v>
      </c>
      <c r="K21">
        <v>5</v>
      </c>
    </row>
    <row r="22" spans="1:11" x14ac:dyDescent="0.25">
      <c r="A22">
        <v>21</v>
      </c>
      <c r="B22" t="s">
        <v>19</v>
      </c>
      <c r="C22" t="s">
        <v>12</v>
      </c>
      <c r="D22">
        <v>93</v>
      </c>
      <c r="E22">
        <v>2.6</v>
      </c>
      <c r="F22">
        <v>681</v>
      </c>
      <c r="G22">
        <v>37</v>
      </c>
      <c r="H22">
        <v>302</v>
      </c>
      <c r="I22">
        <v>45</v>
      </c>
      <c r="J22" t="s">
        <v>15</v>
      </c>
      <c r="K22">
        <v>2</v>
      </c>
    </row>
    <row r="23" spans="1:11" x14ac:dyDescent="0.25">
      <c r="A23">
        <v>22</v>
      </c>
      <c r="B23" t="s">
        <v>14</v>
      </c>
      <c r="C23" t="s">
        <v>12</v>
      </c>
      <c r="D23">
        <v>576</v>
      </c>
      <c r="E23">
        <v>11.6</v>
      </c>
      <c r="F23">
        <v>2803</v>
      </c>
      <c r="G23">
        <v>82</v>
      </c>
      <c r="H23">
        <v>1553</v>
      </c>
      <c r="I23">
        <v>43</v>
      </c>
      <c r="J23" t="s">
        <v>15</v>
      </c>
      <c r="K23">
        <v>5</v>
      </c>
    </row>
    <row r="24" spans="1:11" x14ac:dyDescent="0.25">
      <c r="A24">
        <v>23</v>
      </c>
      <c r="B24" t="s">
        <v>19</v>
      </c>
      <c r="C24" t="s">
        <v>12</v>
      </c>
      <c r="D24">
        <v>423</v>
      </c>
      <c r="E24">
        <v>6.5</v>
      </c>
      <c r="F24">
        <v>2094</v>
      </c>
      <c r="G24">
        <v>65</v>
      </c>
      <c r="H24">
        <v>1372</v>
      </c>
      <c r="I24">
        <v>23</v>
      </c>
      <c r="J24" t="s">
        <v>15</v>
      </c>
      <c r="K24">
        <v>4</v>
      </c>
    </row>
    <row r="25" spans="1:11" x14ac:dyDescent="0.25">
      <c r="A25">
        <v>24</v>
      </c>
      <c r="B25" t="s">
        <v>11</v>
      </c>
      <c r="C25" t="s">
        <v>12</v>
      </c>
      <c r="D25">
        <v>292</v>
      </c>
      <c r="E25">
        <v>5.6</v>
      </c>
      <c r="F25">
        <v>1401</v>
      </c>
      <c r="G25">
        <v>46</v>
      </c>
      <c r="H25">
        <v>949</v>
      </c>
      <c r="I25">
        <v>37</v>
      </c>
      <c r="J25" t="s">
        <v>15</v>
      </c>
      <c r="K25">
        <v>3</v>
      </c>
    </row>
    <row r="26" spans="1:11" x14ac:dyDescent="0.25">
      <c r="A26">
        <v>25</v>
      </c>
      <c r="B26" t="s">
        <v>14</v>
      </c>
      <c r="C26" t="s">
        <v>12</v>
      </c>
      <c r="D26">
        <v>216</v>
      </c>
      <c r="E26">
        <v>4</v>
      </c>
      <c r="F26">
        <v>1711</v>
      </c>
      <c r="G26">
        <v>59</v>
      </c>
      <c r="H26">
        <v>748</v>
      </c>
      <c r="I26">
        <v>58</v>
      </c>
      <c r="J26" t="s">
        <v>13</v>
      </c>
      <c r="K26">
        <v>3</v>
      </c>
    </row>
    <row r="27" spans="1:11" x14ac:dyDescent="0.25">
      <c r="A27">
        <v>26</v>
      </c>
      <c r="B27" t="s">
        <v>19</v>
      </c>
      <c r="C27" t="s">
        <v>12</v>
      </c>
      <c r="D27">
        <v>91</v>
      </c>
      <c r="E27">
        <v>3.4</v>
      </c>
      <c r="F27">
        <v>1073</v>
      </c>
      <c r="G27">
        <v>38</v>
      </c>
      <c r="H27">
        <v>451</v>
      </c>
      <c r="I27">
        <v>52</v>
      </c>
      <c r="J27" t="s">
        <v>13</v>
      </c>
      <c r="K27">
        <v>2</v>
      </c>
    </row>
    <row r="28" spans="1:11" x14ac:dyDescent="0.25">
      <c r="A28">
        <v>27</v>
      </c>
      <c r="B28" t="s">
        <v>17</v>
      </c>
      <c r="C28" t="s">
        <v>18</v>
      </c>
      <c r="D28">
        <v>444</v>
      </c>
      <c r="E28">
        <v>7.6</v>
      </c>
      <c r="F28">
        <v>2372</v>
      </c>
      <c r="G28">
        <v>77</v>
      </c>
      <c r="H28">
        <v>1002</v>
      </c>
      <c r="I28">
        <v>29</v>
      </c>
      <c r="J28" t="s">
        <v>13</v>
      </c>
      <c r="K28">
        <v>4</v>
      </c>
    </row>
    <row r="29" spans="1:11" x14ac:dyDescent="0.25">
      <c r="A29">
        <v>28</v>
      </c>
      <c r="B29" t="s">
        <v>11</v>
      </c>
      <c r="C29" t="s">
        <v>12</v>
      </c>
      <c r="D29">
        <v>512</v>
      </c>
      <c r="E29">
        <v>10.5</v>
      </c>
      <c r="F29">
        <v>2409</v>
      </c>
      <c r="G29">
        <v>89</v>
      </c>
      <c r="H29">
        <v>1599</v>
      </c>
      <c r="I29">
        <v>33</v>
      </c>
      <c r="J29" t="s">
        <v>13</v>
      </c>
      <c r="K29">
        <v>5</v>
      </c>
    </row>
    <row r="30" spans="1:11" x14ac:dyDescent="0.25">
      <c r="A30">
        <v>29</v>
      </c>
      <c r="B30" t="s">
        <v>14</v>
      </c>
      <c r="C30" t="s">
        <v>12</v>
      </c>
      <c r="D30">
        <v>452</v>
      </c>
      <c r="E30">
        <v>6.8</v>
      </c>
      <c r="F30">
        <v>2387</v>
      </c>
      <c r="G30">
        <v>77</v>
      </c>
      <c r="H30">
        <v>1456</v>
      </c>
      <c r="I30">
        <v>55</v>
      </c>
      <c r="J30" t="s">
        <v>15</v>
      </c>
      <c r="K30">
        <v>4</v>
      </c>
    </row>
    <row r="31" spans="1:11" x14ac:dyDescent="0.25">
      <c r="A31">
        <v>30</v>
      </c>
      <c r="B31" t="s">
        <v>19</v>
      </c>
      <c r="C31" t="s">
        <v>12</v>
      </c>
      <c r="D31">
        <v>412</v>
      </c>
      <c r="E31">
        <v>6.2</v>
      </c>
      <c r="F31">
        <v>1899</v>
      </c>
      <c r="G31">
        <v>78</v>
      </c>
      <c r="H31">
        <v>1384</v>
      </c>
      <c r="I31">
        <v>19</v>
      </c>
      <c r="J31" t="s">
        <v>15</v>
      </c>
      <c r="K31">
        <v>4</v>
      </c>
    </row>
    <row r="32" spans="1:11" x14ac:dyDescent="0.25">
      <c r="A32">
        <v>31</v>
      </c>
      <c r="B32" t="s">
        <v>16</v>
      </c>
      <c r="C32" t="s">
        <v>12</v>
      </c>
      <c r="D32">
        <v>260</v>
      </c>
      <c r="E32">
        <v>6</v>
      </c>
      <c r="F32">
        <v>1361</v>
      </c>
      <c r="G32">
        <v>44</v>
      </c>
      <c r="H32">
        <v>889</v>
      </c>
      <c r="I32">
        <v>37</v>
      </c>
      <c r="J32" t="s">
        <v>15</v>
      </c>
      <c r="K32">
        <v>3</v>
      </c>
    </row>
    <row r="33" spans="1:11" x14ac:dyDescent="0.25">
      <c r="A33">
        <v>32</v>
      </c>
      <c r="B33" t="s">
        <v>16</v>
      </c>
      <c r="C33" t="s">
        <v>12</v>
      </c>
      <c r="D33">
        <v>197</v>
      </c>
      <c r="E33">
        <v>4.5999999999999996</v>
      </c>
      <c r="F33">
        <v>1660</v>
      </c>
      <c r="G33">
        <v>59</v>
      </c>
      <c r="H33">
        <v>975</v>
      </c>
      <c r="I33">
        <v>25</v>
      </c>
      <c r="J33" t="s">
        <v>13</v>
      </c>
      <c r="K33">
        <v>3</v>
      </c>
    </row>
    <row r="34" spans="1:11" x14ac:dyDescent="0.25">
      <c r="A34">
        <v>33</v>
      </c>
      <c r="B34" t="s">
        <v>11</v>
      </c>
      <c r="C34" t="s">
        <v>12</v>
      </c>
      <c r="D34">
        <v>278</v>
      </c>
      <c r="E34">
        <v>4.7</v>
      </c>
      <c r="F34">
        <v>1484</v>
      </c>
      <c r="G34">
        <v>55</v>
      </c>
      <c r="H34">
        <v>917</v>
      </c>
      <c r="I34">
        <v>21</v>
      </c>
      <c r="J34" t="s">
        <v>13</v>
      </c>
      <c r="K34">
        <v>3</v>
      </c>
    </row>
    <row r="35" spans="1:11" x14ac:dyDescent="0.25">
      <c r="A35">
        <v>34</v>
      </c>
      <c r="B35" t="s">
        <v>11</v>
      </c>
      <c r="C35" t="s">
        <v>12</v>
      </c>
      <c r="D35">
        <v>46</v>
      </c>
      <c r="E35">
        <v>2</v>
      </c>
      <c r="F35">
        <v>457</v>
      </c>
      <c r="G35">
        <v>14</v>
      </c>
      <c r="H35">
        <v>105</v>
      </c>
      <c r="I35">
        <v>58</v>
      </c>
      <c r="J35" t="s">
        <v>13</v>
      </c>
      <c r="K35">
        <v>1</v>
      </c>
    </row>
    <row r="36" spans="1:11" x14ac:dyDescent="0.25">
      <c r="A36">
        <v>35</v>
      </c>
      <c r="B36" t="s">
        <v>16</v>
      </c>
      <c r="C36" t="s">
        <v>12</v>
      </c>
      <c r="D36">
        <v>593</v>
      </c>
      <c r="E36">
        <v>10.199999999999999</v>
      </c>
      <c r="F36">
        <v>2499</v>
      </c>
      <c r="G36">
        <v>81</v>
      </c>
      <c r="H36">
        <v>1616</v>
      </c>
      <c r="I36">
        <v>38</v>
      </c>
      <c r="J36" t="s">
        <v>15</v>
      </c>
      <c r="K36">
        <v>5</v>
      </c>
    </row>
    <row r="37" spans="1:11" x14ac:dyDescent="0.25">
      <c r="A37">
        <v>36</v>
      </c>
      <c r="B37" t="s">
        <v>19</v>
      </c>
      <c r="C37" t="s">
        <v>12</v>
      </c>
      <c r="D37">
        <v>32</v>
      </c>
      <c r="E37">
        <v>1.2</v>
      </c>
      <c r="F37">
        <v>580</v>
      </c>
      <c r="G37">
        <v>19</v>
      </c>
      <c r="H37">
        <v>153</v>
      </c>
      <c r="I37">
        <v>20</v>
      </c>
      <c r="J37" t="s">
        <v>15</v>
      </c>
      <c r="K37">
        <v>1</v>
      </c>
    </row>
    <row r="38" spans="1:11" x14ac:dyDescent="0.25">
      <c r="A38">
        <v>37</v>
      </c>
      <c r="B38" t="s">
        <v>17</v>
      </c>
      <c r="C38" t="s">
        <v>18</v>
      </c>
      <c r="D38">
        <v>122</v>
      </c>
      <c r="E38">
        <v>3.3</v>
      </c>
      <c r="F38">
        <v>755</v>
      </c>
      <c r="G38">
        <v>30</v>
      </c>
      <c r="H38">
        <v>573</v>
      </c>
      <c r="I38">
        <v>26</v>
      </c>
      <c r="J38" t="s">
        <v>13</v>
      </c>
      <c r="K38">
        <v>2</v>
      </c>
    </row>
    <row r="39" spans="1:11" x14ac:dyDescent="0.25">
      <c r="A39">
        <v>38</v>
      </c>
      <c r="B39" t="s">
        <v>19</v>
      </c>
      <c r="C39" t="s">
        <v>12</v>
      </c>
      <c r="D39">
        <v>522</v>
      </c>
      <c r="E39">
        <v>11.2</v>
      </c>
      <c r="F39">
        <v>2808</v>
      </c>
      <c r="G39">
        <v>93</v>
      </c>
      <c r="H39">
        <v>2328</v>
      </c>
      <c r="I39">
        <v>24</v>
      </c>
      <c r="J39" t="s">
        <v>13</v>
      </c>
      <c r="K39">
        <v>5</v>
      </c>
    </row>
    <row r="40" spans="1:11" x14ac:dyDescent="0.25">
      <c r="A40">
        <v>39</v>
      </c>
      <c r="B40" t="s">
        <v>14</v>
      </c>
      <c r="C40" t="s">
        <v>12</v>
      </c>
      <c r="D40">
        <v>473</v>
      </c>
      <c r="E40">
        <v>6.4</v>
      </c>
      <c r="F40">
        <v>2312</v>
      </c>
      <c r="G40">
        <v>74</v>
      </c>
      <c r="H40">
        <v>1400</v>
      </c>
      <c r="I40">
        <v>40</v>
      </c>
      <c r="J40" t="s">
        <v>13</v>
      </c>
      <c r="K40">
        <v>4</v>
      </c>
    </row>
    <row r="41" spans="1:11" x14ac:dyDescent="0.25">
      <c r="A41">
        <v>40</v>
      </c>
      <c r="B41" t="s">
        <v>19</v>
      </c>
      <c r="C41" t="s">
        <v>12</v>
      </c>
      <c r="D41">
        <v>398</v>
      </c>
      <c r="E41">
        <v>6.2</v>
      </c>
      <c r="F41">
        <v>1851</v>
      </c>
      <c r="G41">
        <v>77</v>
      </c>
      <c r="H41">
        <v>1180</v>
      </c>
      <c r="I41">
        <v>23</v>
      </c>
      <c r="J41" t="s">
        <v>13</v>
      </c>
      <c r="K41">
        <v>4</v>
      </c>
    </row>
    <row r="42" spans="1:11" x14ac:dyDescent="0.25">
      <c r="A42">
        <v>41</v>
      </c>
      <c r="B42" t="s">
        <v>16</v>
      </c>
      <c r="C42" t="s">
        <v>12</v>
      </c>
      <c r="D42">
        <v>240</v>
      </c>
      <c r="E42">
        <v>4.7</v>
      </c>
      <c r="F42">
        <v>1464</v>
      </c>
      <c r="G42">
        <v>52</v>
      </c>
      <c r="H42">
        <v>708</v>
      </c>
      <c r="I42">
        <v>56</v>
      </c>
      <c r="J42" t="s">
        <v>15</v>
      </c>
      <c r="K42">
        <v>3</v>
      </c>
    </row>
    <row r="43" spans="1:11" x14ac:dyDescent="0.25">
      <c r="A43">
        <v>42</v>
      </c>
      <c r="B43" t="s">
        <v>14</v>
      </c>
      <c r="C43" t="s">
        <v>12</v>
      </c>
      <c r="D43">
        <v>576</v>
      </c>
      <c r="E43">
        <v>10.1</v>
      </c>
      <c r="F43">
        <v>2447</v>
      </c>
      <c r="G43">
        <v>83</v>
      </c>
      <c r="H43">
        <v>2323</v>
      </c>
      <c r="I43">
        <v>33</v>
      </c>
      <c r="J43" t="s">
        <v>13</v>
      </c>
      <c r="K43">
        <v>5</v>
      </c>
    </row>
    <row r="44" spans="1:11" x14ac:dyDescent="0.25">
      <c r="A44">
        <v>43</v>
      </c>
      <c r="B44" t="s">
        <v>19</v>
      </c>
      <c r="C44" t="s">
        <v>12</v>
      </c>
      <c r="D44">
        <v>120</v>
      </c>
      <c r="E44">
        <v>2.1</v>
      </c>
      <c r="F44">
        <v>720</v>
      </c>
      <c r="G44">
        <v>39</v>
      </c>
      <c r="H44">
        <v>392</v>
      </c>
      <c r="I44">
        <v>43</v>
      </c>
      <c r="J44" t="s">
        <v>13</v>
      </c>
      <c r="K44">
        <v>2</v>
      </c>
    </row>
    <row r="45" spans="1:11" x14ac:dyDescent="0.25">
      <c r="A45">
        <v>44</v>
      </c>
      <c r="B45" t="s">
        <v>19</v>
      </c>
      <c r="C45" t="s">
        <v>12</v>
      </c>
      <c r="D45">
        <v>152</v>
      </c>
      <c r="E45">
        <v>3.7</v>
      </c>
      <c r="F45">
        <v>993</v>
      </c>
      <c r="G45">
        <v>32</v>
      </c>
      <c r="H45">
        <v>429</v>
      </c>
      <c r="I45">
        <v>18</v>
      </c>
      <c r="J45" t="s">
        <v>13</v>
      </c>
      <c r="K45">
        <v>2</v>
      </c>
    </row>
    <row r="46" spans="1:11" x14ac:dyDescent="0.25">
      <c r="A46">
        <v>45</v>
      </c>
      <c r="B46" t="s">
        <v>16</v>
      </c>
      <c r="C46" t="s">
        <v>12</v>
      </c>
      <c r="D46">
        <v>138</v>
      </c>
      <c r="E46">
        <v>2.4</v>
      </c>
      <c r="F46">
        <v>837</v>
      </c>
      <c r="G46">
        <v>21</v>
      </c>
      <c r="H46">
        <v>572</v>
      </c>
      <c r="I46">
        <v>56</v>
      </c>
      <c r="J46" t="s">
        <v>15</v>
      </c>
      <c r="K46">
        <v>2</v>
      </c>
    </row>
    <row r="47" spans="1:11" x14ac:dyDescent="0.25">
      <c r="A47">
        <v>46</v>
      </c>
      <c r="B47" t="s">
        <v>16</v>
      </c>
      <c r="C47" t="s">
        <v>12</v>
      </c>
      <c r="D47">
        <v>502</v>
      </c>
      <c r="E47">
        <v>10.9</v>
      </c>
      <c r="F47">
        <v>2476</v>
      </c>
      <c r="G47">
        <v>96</v>
      </c>
      <c r="H47">
        <v>1935</v>
      </c>
      <c r="I47">
        <v>39</v>
      </c>
      <c r="J47" t="s">
        <v>13</v>
      </c>
      <c r="K47">
        <v>5</v>
      </c>
    </row>
    <row r="48" spans="1:11" x14ac:dyDescent="0.25">
      <c r="A48">
        <v>47</v>
      </c>
      <c r="B48" t="s">
        <v>14</v>
      </c>
      <c r="C48" t="s">
        <v>12</v>
      </c>
      <c r="D48">
        <v>558</v>
      </c>
      <c r="E48">
        <v>8.4</v>
      </c>
      <c r="F48">
        <v>2447</v>
      </c>
      <c r="G48">
        <v>97</v>
      </c>
      <c r="H48">
        <v>1594</v>
      </c>
      <c r="I48">
        <v>22</v>
      </c>
      <c r="J48" t="s">
        <v>15</v>
      </c>
      <c r="K48">
        <v>5</v>
      </c>
    </row>
    <row r="49" spans="1:11" x14ac:dyDescent="0.25">
      <c r="A49">
        <v>48</v>
      </c>
      <c r="B49" t="s">
        <v>19</v>
      </c>
      <c r="C49" t="s">
        <v>12</v>
      </c>
      <c r="D49">
        <v>138</v>
      </c>
      <c r="E49">
        <v>3.6</v>
      </c>
      <c r="F49">
        <v>889</v>
      </c>
      <c r="G49">
        <v>25</v>
      </c>
      <c r="H49">
        <v>323</v>
      </c>
      <c r="I49">
        <v>27</v>
      </c>
      <c r="J49" t="s">
        <v>15</v>
      </c>
      <c r="K49">
        <v>2</v>
      </c>
    </row>
    <row r="50" spans="1:11" x14ac:dyDescent="0.25">
      <c r="A50">
        <v>49</v>
      </c>
      <c r="B50" t="s">
        <v>11</v>
      </c>
      <c r="C50" t="s">
        <v>12</v>
      </c>
      <c r="D50">
        <v>580</v>
      </c>
      <c r="E50">
        <v>8.1999999999999993</v>
      </c>
      <c r="F50">
        <v>2623</v>
      </c>
      <c r="G50">
        <v>90</v>
      </c>
      <c r="H50">
        <v>2262</v>
      </c>
      <c r="I50">
        <v>49</v>
      </c>
      <c r="J50" t="s">
        <v>13</v>
      </c>
      <c r="K50">
        <v>5</v>
      </c>
    </row>
    <row r="51" spans="1:11" x14ac:dyDescent="0.25">
      <c r="A51">
        <v>50</v>
      </c>
      <c r="B51" t="s">
        <v>14</v>
      </c>
      <c r="C51" t="s">
        <v>12</v>
      </c>
      <c r="D51">
        <v>589</v>
      </c>
      <c r="E51">
        <v>8.6999999999999993</v>
      </c>
      <c r="F51">
        <v>2736</v>
      </c>
      <c r="G51">
        <v>82</v>
      </c>
      <c r="H51">
        <v>1997</v>
      </c>
      <c r="I51">
        <v>49</v>
      </c>
      <c r="J51" t="s">
        <v>13</v>
      </c>
      <c r="K51">
        <v>5</v>
      </c>
    </row>
    <row r="52" spans="1:11" x14ac:dyDescent="0.25">
      <c r="A52">
        <v>51</v>
      </c>
      <c r="B52" t="s">
        <v>16</v>
      </c>
      <c r="C52" t="s">
        <v>12</v>
      </c>
      <c r="D52">
        <v>452</v>
      </c>
      <c r="E52">
        <v>7.4</v>
      </c>
      <c r="F52">
        <v>2180</v>
      </c>
      <c r="G52">
        <v>61</v>
      </c>
      <c r="H52">
        <v>1417</v>
      </c>
      <c r="I52">
        <v>54</v>
      </c>
      <c r="J52" t="s">
        <v>15</v>
      </c>
      <c r="K52">
        <v>4</v>
      </c>
    </row>
    <row r="53" spans="1:11" x14ac:dyDescent="0.25">
      <c r="A53">
        <v>52</v>
      </c>
      <c r="B53" t="s">
        <v>16</v>
      </c>
      <c r="C53" t="s">
        <v>12</v>
      </c>
      <c r="D53">
        <v>245</v>
      </c>
      <c r="E53">
        <v>5.9</v>
      </c>
      <c r="F53">
        <v>1243</v>
      </c>
      <c r="G53">
        <v>52</v>
      </c>
      <c r="H53">
        <v>885</v>
      </c>
      <c r="I53">
        <v>29</v>
      </c>
      <c r="J53" t="s">
        <v>13</v>
      </c>
      <c r="K53">
        <v>3</v>
      </c>
    </row>
    <row r="54" spans="1:11" x14ac:dyDescent="0.25">
      <c r="A54">
        <v>53</v>
      </c>
      <c r="B54" t="s">
        <v>19</v>
      </c>
      <c r="C54" t="s">
        <v>12</v>
      </c>
      <c r="D54">
        <v>125</v>
      </c>
      <c r="E54">
        <v>2.7</v>
      </c>
      <c r="F54">
        <v>690</v>
      </c>
      <c r="G54">
        <v>28</v>
      </c>
      <c r="H54">
        <v>393</v>
      </c>
      <c r="I54">
        <v>27</v>
      </c>
      <c r="J54" t="s">
        <v>15</v>
      </c>
      <c r="K54">
        <v>2</v>
      </c>
    </row>
    <row r="55" spans="1:11" x14ac:dyDescent="0.25">
      <c r="A55">
        <v>54</v>
      </c>
      <c r="B55" t="s">
        <v>16</v>
      </c>
      <c r="C55" t="s">
        <v>12</v>
      </c>
      <c r="D55">
        <v>97</v>
      </c>
      <c r="E55">
        <v>2.2000000000000002</v>
      </c>
      <c r="F55">
        <v>1101</v>
      </c>
      <c r="G55">
        <v>38</v>
      </c>
      <c r="H55">
        <v>375</v>
      </c>
      <c r="I55">
        <v>53</v>
      </c>
      <c r="J55" t="s">
        <v>13</v>
      </c>
      <c r="K55">
        <v>2</v>
      </c>
    </row>
    <row r="56" spans="1:11" x14ac:dyDescent="0.25">
      <c r="A56">
        <v>55</v>
      </c>
      <c r="B56" t="s">
        <v>11</v>
      </c>
      <c r="C56" t="s">
        <v>12</v>
      </c>
      <c r="D56">
        <v>516</v>
      </c>
      <c r="E56">
        <v>8.6999999999999993</v>
      </c>
      <c r="F56">
        <v>2857</v>
      </c>
      <c r="G56">
        <v>83</v>
      </c>
      <c r="H56">
        <v>2189</v>
      </c>
      <c r="I56">
        <v>53</v>
      </c>
      <c r="J56" t="s">
        <v>15</v>
      </c>
      <c r="K56">
        <v>5</v>
      </c>
    </row>
    <row r="57" spans="1:11" x14ac:dyDescent="0.25">
      <c r="A57">
        <v>56</v>
      </c>
      <c r="B57" t="s">
        <v>17</v>
      </c>
      <c r="C57" t="s">
        <v>18</v>
      </c>
      <c r="D57">
        <v>68</v>
      </c>
      <c r="E57">
        <v>1.6</v>
      </c>
      <c r="F57">
        <v>450</v>
      </c>
      <c r="G57">
        <v>14</v>
      </c>
      <c r="H57">
        <v>111</v>
      </c>
      <c r="I57">
        <v>30</v>
      </c>
      <c r="J57" t="s">
        <v>13</v>
      </c>
      <c r="K57">
        <v>1</v>
      </c>
    </row>
    <row r="58" spans="1:11" x14ac:dyDescent="0.25">
      <c r="A58">
        <v>57</v>
      </c>
      <c r="B58" t="s">
        <v>14</v>
      </c>
      <c r="C58" t="s">
        <v>12</v>
      </c>
      <c r="D58">
        <v>64</v>
      </c>
      <c r="E58">
        <v>1.1000000000000001</v>
      </c>
      <c r="F58">
        <v>572</v>
      </c>
      <c r="G58">
        <v>10</v>
      </c>
      <c r="H58">
        <v>161</v>
      </c>
      <c r="I58">
        <v>42</v>
      </c>
      <c r="J58" t="s">
        <v>15</v>
      </c>
      <c r="K58">
        <v>1</v>
      </c>
    </row>
    <row r="59" spans="1:11" x14ac:dyDescent="0.25">
      <c r="A59">
        <v>58</v>
      </c>
      <c r="B59" t="s">
        <v>14</v>
      </c>
      <c r="C59" t="s">
        <v>12</v>
      </c>
      <c r="D59">
        <v>539</v>
      </c>
      <c r="E59">
        <v>8.4</v>
      </c>
      <c r="F59">
        <v>2796</v>
      </c>
      <c r="G59">
        <v>89</v>
      </c>
      <c r="H59">
        <v>2415</v>
      </c>
      <c r="I59">
        <v>26</v>
      </c>
      <c r="J59" t="s">
        <v>13</v>
      </c>
      <c r="K59">
        <v>5</v>
      </c>
    </row>
    <row r="60" spans="1:11" x14ac:dyDescent="0.25">
      <c r="A60">
        <v>59</v>
      </c>
      <c r="B60" t="s">
        <v>16</v>
      </c>
      <c r="C60" t="s">
        <v>12</v>
      </c>
      <c r="D60">
        <v>428</v>
      </c>
      <c r="E60">
        <v>7</v>
      </c>
      <c r="F60">
        <v>2306</v>
      </c>
      <c r="G60">
        <v>75</v>
      </c>
      <c r="H60">
        <v>1144</v>
      </c>
      <c r="I60">
        <v>22</v>
      </c>
      <c r="J60" t="s">
        <v>13</v>
      </c>
      <c r="K60">
        <v>4</v>
      </c>
    </row>
    <row r="61" spans="1:11" x14ac:dyDescent="0.25">
      <c r="A61">
        <v>60</v>
      </c>
      <c r="B61" t="s">
        <v>17</v>
      </c>
      <c r="C61" t="s">
        <v>18</v>
      </c>
      <c r="D61">
        <v>325</v>
      </c>
      <c r="E61">
        <v>7.1</v>
      </c>
      <c r="F61">
        <v>2269</v>
      </c>
      <c r="G61">
        <v>64</v>
      </c>
      <c r="H61">
        <v>1053</v>
      </c>
      <c r="I61">
        <v>56</v>
      </c>
      <c r="J61" t="s">
        <v>13</v>
      </c>
      <c r="K61">
        <v>4</v>
      </c>
    </row>
    <row r="62" spans="1:11" x14ac:dyDescent="0.25">
      <c r="A62">
        <v>61</v>
      </c>
      <c r="B62" t="s">
        <v>16</v>
      </c>
      <c r="C62" t="s">
        <v>12</v>
      </c>
      <c r="D62">
        <v>522</v>
      </c>
      <c r="E62">
        <v>11.9</v>
      </c>
      <c r="F62">
        <v>2798</v>
      </c>
      <c r="G62">
        <v>85</v>
      </c>
      <c r="H62">
        <v>1663</v>
      </c>
      <c r="I62">
        <v>28</v>
      </c>
      <c r="J62" t="s">
        <v>15</v>
      </c>
      <c r="K62">
        <v>5</v>
      </c>
    </row>
    <row r="63" spans="1:11" x14ac:dyDescent="0.25">
      <c r="A63">
        <v>62</v>
      </c>
      <c r="B63" t="s">
        <v>16</v>
      </c>
      <c r="C63" t="s">
        <v>12</v>
      </c>
      <c r="D63">
        <v>309</v>
      </c>
      <c r="E63">
        <v>7.5</v>
      </c>
      <c r="F63">
        <v>2292</v>
      </c>
      <c r="G63">
        <v>77</v>
      </c>
      <c r="H63">
        <v>1253</v>
      </c>
      <c r="I63">
        <v>57</v>
      </c>
      <c r="J63" t="s">
        <v>15</v>
      </c>
      <c r="K63">
        <v>4</v>
      </c>
    </row>
    <row r="64" spans="1:11" x14ac:dyDescent="0.25">
      <c r="A64">
        <v>63</v>
      </c>
      <c r="B64" t="s">
        <v>16</v>
      </c>
      <c r="C64" t="s">
        <v>12</v>
      </c>
      <c r="D64">
        <v>79</v>
      </c>
      <c r="E64">
        <v>1.9</v>
      </c>
      <c r="F64">
        <v>493</v>
      </c>
      <c r="G64">
        <v>14</v>
      </c>
      <c r="H64">
        <v>128</v>
      </c>
      <c r="I64">
        <v>55</v>
      </c>
      <c r="J64" t="s">
        <v>13</v>
      </c>
      <c r="K64">
        <v>1</v>
      </c>
    </row>
    <row r="65" spans="1:11" x14ac:dyDescent="0.25">
      <c r="A65">
        <v>64</v>
      </c>
      <c r="B65" t="s">
        <v>16</v>
      </c>
      <c r="C65" t="s">
        <v>12</v>
      </c>
      <c r="D65">
        <v>545</v>
      </c>
      <c r="E65">
        <v>11.5</v>
      </c>
      <c r="F65">
        <v>2911</v>
      </c>
      <c r="G65">
        <v>87</v>
      </c>
      <c r="H65">
        <v>1717</v>
      </c>
      <c r="I65">
        <v>21</v>
      </c>
      <c r="J65" t="s">
        <v>15</v>
      </c>
      <c r="K65">
        <v>5</v>
      </c>
    </row>
    <row r="66" spans="1:11" x14ac:dyDescent="0.25">
      <c r="A66">
        <v>65</v>
      </c>
      <c r="B66" t="s">
        <v>19</v>
      </c>
      <c r="C66" t="s">
        <v>12</v>
      </c>
      <c r="D66">
        <v>459</v>
      </c>
      <c r="E66">
        <v>7</v>
      </c>
      <c r="F66">
        <v>1982</v>
      </c>
      <c r="G66">
        <v>67</v>
      </c>
      <c r="H66">
        <v>1091</v>
      </c>
      <c r="I66">
        <v>43</v>
      </c>
      <c r="J66" t="s">
        <v>13</v>
      </c>
      <c r="K66">
        <v>4</v>
      </c>
    </row>
    <row r="67" spans="1:11" x14ac:dyDescent="0.25">
      <c r="A67">
        <v>66</v>
      </c>
      <c r="B67" t="s">
        <v>17</v>
      </c>
      <c r="C67" t="s">
        <v>18</v>
      </c>
      <c r="D67">
        <v>225</v>
      </c>
      <c r="E67">
        <v>4</v>
      </c>
      <c r="F67">
        <v>1420</v>
      </c>
      <c r="G67">
        <v>48</v>
      </c>
      <c r="H67">
        <v>917</v>
      </c>
      <c r="I67">
        <v>56</v>
      </c>
      <c r="J67" t="s">
        <v>13</v>
      </c>
      <c r="K67">
        <v>3</v>
      </c>
    </row>
    <row r="68" spans="1:11" x14ac:dyDescent="0.25">
      <c r="A68">
        <v>67</v>
      </c>
      <c r="B68" t="s">
        <v>17</v>
      </c>
      <c r="C68" t="s">
        <v>18</v>
      </c>
      <c r="D68">
        <v>257</v>
      </c>
      <c r="E68">
        <v>4.5</v>
      </c>
      <c r="F68">
        <v>1705</v>
      </c>
      <c r="G68">
        <v>57</v>
      </c>
      <c r="H68">
        <v>912</v>
      </c>
      <c r="I68">
        <v>55</v>
      </c>
      <c r="J68" t="s">
        <v>13</v>
      </c>
      <c r="K68">
        <v>3</v>
      </c>
    </row>
    <row r="69" spans="1:11" x14ac:dyDescent="0.25">
      <c r="A69">
        <v>68</v>
      </c>
      <c r="B69" t="s">
        <v>16</v>
      </c>
      <c r="C69" t="s">
        <v>12</v>
      </c>
      <c r="D69">
        <v>134</v>
      </c>
      <c r="E69">
        <v>4</v>
      </c>
      <c r="F69">
        <v>773</v>
      </c>
      <c r="G69">
        <v>35</v>
      </c>
      <c r="H69">
        <v>449</v>
      </c>
      <c r="I69">
        <v>28</v>
      </c>
      <c r="J69" t="s">
        <v>15</v>
      </c>
      <c r="K69">
        <v>2</v>
      </c>
    </row>
    <row r="70" spans="1:11" x14ac:dyDescent="0.25">
      <c r="A70">
        <v>69</v>
      </c>
      <c r="B70" t="s">
        <v>17</v>
      </c>
      <c r="C70" t="s">
        <v>18</v>
      </c>
      <c r="D70">
        <v>516</v>
      </c>
      <c r="E70">
        <v>10.199999999999999</v>
      </c>
      <c r="F70">
        <v>2932</v>
      </c>
      <c r="G70">
        <v>98</v>
      </c>
      <c r="H70">
        <v>1547</v>
      </c>
      <c r="I70">
        <v>31</v>
      </c>
      <c r="J70" t="s">
        <v>13</v>
      </c>
      <c r="K70">
        <v>5</v>
      </c>
    </row>
    <row r="71" spans="1:11" x14ac:dyDescent="0.25">
      <c r="A71">
        <v>70</v>
      </c>
      <c r="B71" t="s">
        <v>11</v>
      </c>
      <c r="C71" t="s">
        <v>12</v>
      </c>
      <c r="D71">
        <v>82</v>
      </c>
      <c r="E71">
        <v>1.7</v>
      </c>
      <c r="F71">
        <v>558</v>
      </c>
      <c r="G71">
        <v>16</v>
      </c>
      <c r="H71">
        <v>284</v>
      </c>
      <c r="I71">
        <v>29</v>
      </c>
      <c r="J71" t="s">
        <v>15</v>
      </c>
      <c r="K71">
        <v>1</v>
      </c>
    </row>
    <row r="72" spans="1:11" x14ac:dyDescent="0.25">
      <c r="A72">
        <v>71</v>
      </c>
      <c r="B72" t="s">
        <v>19</v>
      </c>
      <c r="C72" t="s">
        <v>12</v>
      </c>
      <c r="D72">
        <v>452</v>
      </c>
      <c r="E72">
        <v>7.2</v>
      </c>
      <c r="F72">
        <v>1808</v>
      </c>
      <c r="G72">
        <v>64</v>
      </c>
      <c r="H72">
        <v>1090</v>
      </c>
      <c r="I72">
        <v>45</v>
      </c>
      <c r="J72" t="s">
        <v>15</v>
      </c>
      <c r="K72">
        <v>4</v>
      </c>
    </row>
    <row r="73" spans="1:11" x14ac:dyDescent="0.25">
      <c r="A73">
        <v>72</v>
      </c>
      <c r="B73" t="s">
        <v>17</v>
      </c>
      <c r="C73" t="s">
        <v>18</v>
      </c>
      <c r="D73">
        <v>521</v>
      </c>
      <c r="E73">
        <v>9</v>
      </c>
      <c r="F73">
        <v>2902</v>
      </c>
      <c r="G73">
        <v>97</v>
      </c>
      <c r="H73">
        <v>1701</v>
      </c>
      <c r="I73">
        <v>37</v>
      </c>
      <c r="J73" t="s">
        <v>13</v>
      </c>
      <c r="K73">
        <v>5</v>
      </c>
    </row>
    <row r="74" spans="1:11" x14ac:dyDescent="0.25">
      <c r="A74">
        <v>73</v>
      </c>
      <c r="B74" t="s">
        <v>11</v>
      </c>
      <c r="C74" t="s">
        <v>12</v>
      </c>
      <c r="D74">
        <v>457</v>
      </c>
      <c r="E74">
        <v>6.3</v>
      </c>
      <c r="F74">
        <v>2347</v>
      </c>
      <c r="G74">
        <v>66</v>
      </c>
      <c r="H74">
        <v>1082</v>
      </c>
      <c r="I74">
        <v>22</v>
      </c>
      <c r="J74" t="s">
        <v>13</v>
      </c>
      <c r="K74">
        <v>4</v>
      </c>
    </row>
    <row r="75" spans="1:11" x14ac:dyDescent="0.25">
      <c r="A75">
        <v>74</v>
      </c>
      <c r="B75" t="s">
        <v>16</v>
      </c>
      <c r="C75" t="s">
        <v>12</v>
      </c>
      <c r="D75">
        <v>31</v>
      </c>
      <c r="E75">
        <v>1.1000000000000001</v>
      </c>
      <c r="F75">
        <v>585</v>
      </c>
      <c r="G75">
        <v>11</v>
      </c>
      <c r="H75">
        <v>208</v>
      </c>
      <c r="I75">
        <v>50</v>
      </c>
      <c r="J75" t="s">
        <v>15</v>
      </c>
      <c r="K75">
        <v>1</v>
      </c>
    </row>
    <row r="76" spans="1:11" x14ac:dyDescent="0.25">
      <c r="A76">
        <v>75</v>
      </c>
      <c r="B76" t="s">
        <v>17</v>
      </c>
      <c r="C76" t="s">
        <v>18</v>
      </c>
      <c r="D76">
        <v>47</v>
      </c>
      <c r="E76">
        <v>2</v>
      </c>
      <c r="F76">
        <v>476</v>
      </c>
      <c r="G76">
        <v>14</v>
      </c>
      <c r="H76">
        <v>125</v>
      </c>
      <c r="I76">
        <v>39</v>
      </c>
      <c r="J76" t="s">
        <v>13</v>
      </c>
      <c r="K76">
        <v>1</v>
      </c>
    </row>
    <row r="77" spans="1:11" x14ac:dyDescent="0.25">
      <c r="A77">
        <v>76</v>
      </c>
      <c r="B77" t="s">
        <v>16</v>
      </c>
      <c r="C77" t="s">
        <v>12</v>
      </c>
      <c r="D77">
        <v>229</v>
      </c>
      <c r="E77">
        <v>5.7</v>
      </c>
      <c r="F77">
        <v>1305</v>
      </c>
      <c r="G77">
        <v>43</v>
      </c>
      <c r="H77">
        <v>985</v>
      </c>
      <c r="I77">
        <v>23</v>
      </c>
      <c r="J77" t="s">
        <v>15</v>
      </c>
      <c r="K77">
        <v>3</v>
      </c>
    </row>
    <row r="78" spans="1:11" x14ac:dyDescent="0.25">
      <c r="A78">
        <v>77</v>
      </c>
      <c r="B78" t="s">
        <v>16</v>
      </c>
      <c r="C78" t="s">
        <v>12</v>
      </c>
      <c r="D78">
        <v>34</v>
      </c>
      <c r="E78">
        <v>2</v>
      </c>
      <c r="F78">
        <v>558</v>
      </c>
      <c r="G78">
        <v>14</v>
      </c>
      <c r="H78">
        <v>122</v>
      </c>
      <c r="I78">
        <v>54</v>
      </c>
      <c r="J78" t="s">
        <v>15</v>
      </c>
      <c r="K78">
        <v>1</v>
      </c>
    </row>
    <row r="79" spans="1:11" x14ac:dyDescent="0.25">
      <c r="A79">
        <v>78</v>
      </c>
      <c r="B79" t="s">
        <v>11</v>
      </c>
      <c r="C79" t="s">
        <v>12</v>
      </c>
      <c r="D79">
        <v>173</v>
      </c>
      <c r="E79">
        <v>2.5</v>
      </c>
      <c r="F79">
        <v>678</v>
      </c>
      <c r="G79">
        <v>29</v>
      </c>
      <c r="H79">
        <v>301</v>
      </c>
      <c r="I79">
        <v>30</v>
      </c>
      <c r="J79" t="s">
        <v>15</v>
      </c>
      <c r="K79">
        <v>2</v>
      </c>
    </row>
    <row r="80" spans="1:11" x14ac:dyDescent="0.25">
      <c r="A80">
        <v>79</v>
      </c>
      <c r="B80" t="s">
        <v>19</v>
      </c>
      <c r="C80" t="s">
        <v>12</v>
      </c>
      <c r="D80">
        <v>78</v>
      </c>
      <c r="E80">
        <v>1.8</v>
      </c>
      <c r="F80">
        <v>333</v>
      </c>
      <c r="G80">
        <v>17</v>
      </c>
      <c r="H80">
        <v>138</v>
      </c>
      <c r="I80">
        <v>51</v>
      </c>
      <c r="J80" t="s">
        <v>15</v>
      </c>
      <c r="K80">
        <v>1</v>
      </c>
    </row>
    <row r="81" spans="1:11" x14ac:dyDescent="0.25">
      <c r="A81">
        <v>80</v>
      </c>
      <c r="B81" t="s">
        <v>11</v>
      </c>
      <c r="C81" t="s">
        <v>12</v>
      </c>
      <c r="D81">
        <v>230</v>
      </c>
      <c r="E81">
        <v>5.7</v>
      </c>
      <c r="F81">
        <v>1254</v>
      </c>
      <c r="G81">
        <v>52</v>
      </c>
      <c r="H81">
        <v>989</v>
      </c>
      <c r="I81">
        <v>34</v>
      </c>
      <c r="J81" t="s">
        <v>15</v>
      </c>
      <c r="K81">
        <v>3</v>
      </c>
    </row>
    <row r="82" spans="1:11" x14ac:dyDescent="0.25">
      <c r="A82">
        <v>81</v>
      </c>
      <c r="B82" t="s">
        <v>14</v>
      </c>
      <c r="C82" t="s">
        <v>12</v>
      </c>
      <c r="D82">
        <v>565</v>
      </c>
      <c r="E82">
        <v>10.6</v>
      </c>
      <c r="F82">
        <v>2475</v>
      </c>
      <c r="G82">
        <v>99</v>
      </c>
      <c r="H82">
        <v>1603</v>
      </c>
      <c r="I82">
        <v>51</v>
      </c>
      <c r="J82" t="s">
        <v>15</v>
      </c>
      <c r="K82">
        <v>5</v>
      </c>
    </row>
    <row r="83" spans="1:11" x14ac:dyDescent="0.25">
      <c r="A83">
        <v>82</v>
      </c>
      <c r="B83" t="s">
        <v>17</v>
      </c>
      <c r="C83" t="s">
        <v>18</v>
      </c>
      <c r="D83">
        <v>172</v>
      </c>
      <c r="E83">
        <v>2.8</v>
      </c>
      <c r="F83">
        <v>1035</v>
      </c>
      <c r="G83">
        <v>22</v>
      </c>
      <c r="H83">
        <v>549</v>
      </c>
      <c r="I83">
        <v>41</v>
      </c>
      <c r="J83" t="s">
        <v>13</v>
      </c>
      <c r="K83">
        <v>2</v>
      </c>
    </row>
    <row r="84" spans="1:11" x14ac:dyDescent="0.25">
      <c r="A84">
        <v>83</v>
      </c>
      <c r="B84" t="s">
        <v>16</v>
      </c>
      <c r="C84" t="s">
        <v>12</v>
      </c>
      <c r="D84">
        <v>330</v>
      </c>
      <c r="E84">
        <v>7.2</v>
      </c>
      <c r="F84">
        <v>2363</v>
      </c>
      <c r="G84">
        <v>77</v>
      </c>
      <c r="H84">
        <v>1133</v>
      </c>
      <c r="I84">
        <v>21</v>
      </c>
      <c r="J84" t="s">
        <v>15</v>
      </c>
      <c r="K84">
        <v>4</v>
      </c>
    </row>
    <row r="85" spans="1:11" x14ac:dyDescent="0.25">
      <c r="A85">
        <v>84</v>
      </c>
      <c r="B85" t="s">
        <v>16</v>
      </c>
      <c r="C85" t="s">
        <v>12</v>
      </c>
      <c r="D85">
        <v>39</v>
      </c>
      <c r="E85">
        <v>1.8</v>
      </c>
      <c r="F85">
        <v>368</v>
      </c>
      <c r="G85">
        <v>11</v>
      </c>
      <c r="H85">
        <v>105</v>
      </c>
      <c r="I85">
        <v>19</v>
      </c>
      <c r="J85" t="s">
        <v>13</v>
      </c>
      <c r="K85">
        <v>1</v>
      </c>
    </row>
    <row r="86" spans="1:11" x14ac:dyDescent="0.25">
      <c r="A86">
        <v>85</v>
      </c>
      <c r="B86" t="s">
        <v>11</v>
      </c>
      <c r="C86" t="s">
        <v>12</v>
      </c>
      <c r="D86">
        <v>223</v>
      </c>
      <c r="E86">
        <v>4.5</v>
      </c>
      <c r="F86">
        <v>1311</v>
      </c>
      <c r="G86">
        <v>56</v>
      </c>
      <c r="H86">
        <v>695</v>
      </c>
      <c r="I86">
        <v>33</v>
      </c>
      <c r="J86" t="s">
        <v>15</v>
      </c>
      <c r="K86">
        <v>3</v>
      </c>
    </row>
    <row r="87" spans="1:11" x14ac:dyDescent="0.25">
      <c r="A87">
        <v>86</v>
      </c>
      <c r="B87" t="s">
        <v>11</v>
      </c>
      <c r="C87" t="s">
        <v>12</v>
      </c>
      <c r="D87">
        <v>404</v>
      </c>
      <c r="E87">
        <v>7.4</v>
      </c>
      <c r="F87">
        <v>2081</v>
      </c>
      <c r="G87">
        <v>63</v>
      </c>
      <c r="H87">
        <v>1352</v>
      </c>
      <c r="I87">
        <v>44</v>
      </c>
      <c r="J87" t="s">
        <v>13</v>
      </c>
      <c r="K87">
        <v>4</v>
      </c>
    </row>
    <row r="88" spans="1:11" x14ac:dyDescent="0.25">
      <c r="A88">
        <v>87</v>
      </c>
      <c r="B88" t="s">
        <v>19</v>
      </c>
      <c r="C88" t="s">
        <v>12</v>
      </c>
      <c r="D88">
        <v>151</v>
      </c>
      <c r="E88">
        <v>2.4</v>
      </c>
      <c r="F88">
        <v>1003</v>
      </c>
      <c r="G88">
        <v>25</v>
      </c>
      <c r="H88">
        <v>392</v>
      </c>
      <c r="I88">
        <v>39</v>
      </c>
      <c r="J88" t="s">
        <v>13</v>
      </c>
      <c r="K88">
        <v>2</v>
      </c>
    </row>
    <row r="89" spans="1:11" x14ac:dyDescent="0.25">
      <c r="A89">
        <v>88</v>
      </c>
      <c r="B89" t="s">
        <v>19</v>
      </c>
      <c r="C89" t="s">
        <v>12</v>
      </c>
      <c r="D89">
        <v>34</v>
      </c>
      <c r="E89">
        <v>1.5</v>
      </c>
      <c r="F89">
        <v>345</v>
      </c>
      <c r="G89">
        <v>11</v>
      </c>
      <c r="H89">
        <v>276</v>
      </c>
      <c r="I89">
        <v>44</v>
      </c>
      <c r="J89" t="s">
        <v>13</v>
      </c>
      <c r="K89">
        <v>1</v>
      </c>
    </row>
    <row r="90" spans="1:11" x14ac:dyDescent="0.25">
      <c r="A90">
        <v>89</v>
      </c>
      <c r="B90" t="s">
        <v>16</v>
      </c>
      <c r="C90" t="s">
        <v>12</v>
      </c>
      <c r="D90">
        <v>137</v>
      </c>
      <c r="E90">
        <v>3.3</v>
      </c>
      <c r="F90">
        <v>839</v>
      </c>
      <c r="G90">
        <v>31</v>
      </c>
      <c r="H90">
        <v>348</v>
      </c>
      <c r="I90">
        <v>34</v>
      </c>
      <c r="J90" t="s">
        <v>15</v>
      </c>
      <c r="K90">
        <v>2</v>
      </c>
    </row>
    <row r="91" spans="1:11" x14ac:dyDescent="0.25">
      <c r="A91">
        <v>90</v>
      </c>
      <c r="B91" t="s">
        <v>19</v>
      </c>
      <c r="C91" t="s">
        <v>12</v>
      </c>
      <c r="D91">
        <v>301</v>
      </c>
      <c r="E91">
        <v>6.2</v>
      </c>
      <c r="F91">
        <v>2053</v>
      </c>
      <c r="G91">
        <v>75</v>
      </c>
      <c r="H91">
        <v>1303</v>
      </c>
      <c r="I91">
        <v>45</v>
      </c>
      <c r="J91" t="s">
        <v>13</v>
      </c>
      <c r="K91">
        <v>4</v>
      </c>
    </row>
    <row r="92" spans="1:11" x14ac:dyDescent="0.25">
      <c r="A92">
        <v>91</v>
      </c>
      <c r="B92" t="s">
        <v>11</v>
      </c>
      <c r="C92" t="s">
        <v>12</v>
      </c>
      <c r="D92">
        <v>116</v>
      </c>
      <c r="E92">
        <v>2.1</v>
      </c>
      <c r="F92">
        <v>912</v>
      </c>
      <c r="G92">
        <v>39</v>
      </c>
      <c r="H92">
        <v>307</v>
      </c>
      <c r="I92">
        <v>40</v>
      </c>
      <c r="J92" t="s">
        <v>15</v>
      </c>
      <c r="K92">
        <v>2</v>
      </c>
    </row>
    <row r="93" spans="1:11" x14ac:dyDescent="0.25">
      <c r="A93">
        <v>92</v>
      </c>
      <c r="B93" t="s">
        <v>11</v>
      </c>
      <c r="C93" t="s">
        <v>12</v>
      </c>
      <c r="D93">
        <v>291</v>
      </c>
      <c r="E93">
        <v>4.0999999999999996</v>
      </c>
      <c r="F93">
        <v>1474</v>
      </c>
      <c r="G93">
        <v>46</v>
      </c>
      <c r="H93">
        <v>827</v>
      </c>
      <c r="I93">
        <v>32</v>
      </c>
      <c r="J93" t="s">
        <v>15</v>
      </c>
      <c r="K93">
        <v>3</v>
      </c>
    </row>
    <row r="94" spans="1:11" x14ac:dyDescent="0.25">
      <c r="A94">
        <v>93</v>
      </c>
      <c r="B94" t="s">
        <v>17</v>
      </c>
      <c r="C94" t="s">
        <v>18</v>
      </c>
      <c r="D94">
        <v>84</v>
      </c>
      <c r="E94">
        <v>1.4</v>
      </c>
      <c r="F94">
        <v>501</v>
      </c>
      <c r="G94">
        <v>16</v>
      </c>
      <c r="H94">
        <v>284</v>
      </c>
      <c r="I94">
        <v>56</v>
      </c>
      <c r="J94" t="s">
        <v>15</v>
      </c>
      <c r="K94">
        <v>1</v>
      </c>
    </row>
    <row r="95" spans="1:11" x14ac:dyDescent="0.25">
      <c r="A95">
        <v>94</v>
      </c>
      <c r="B95" t="s">
        <v>17</v>
      </c>
      <c r="C95" t="s">
        <v>18</v>
      </c>
      <c r="D95">
        <v>134</v>
      </c>
      <c r="E95">
        <v>2.5</v>
      </c>
      <c r="F95">
        <v>1125</v>
      </c>
      <c r="G95">
        <v>24</v>
      </c>
      <c r="H95">
        <v>367</v>
      </c>
      <c r="I95">
        <v>35</v>
      </c>
      <c r="J95" t="s">
        <v>13</v>
      </c>
      <c r="K95">
        <v>2</v>
      </c>
    </row>
    <row r="96" spans="1:11" x14ac:dyDescent="0.25">
      <c r="A96">
        <v>95</v>
      </c>
      <c r="B96" t="s">
        <v>19</v>
      </c>
      <c r="C96" t="s">
        <v>12</v>
      </c>
      <c r="D96">
        <v>411</v>
      </c>
      <c r="E96">
        <v>7.5</v>
      </c>
      <c r="F96">
        <v>2169</v>
      </c>
      <c r="G96">
        <v>72</v>
      </c>
      <c r="H96">
        <v>1083</v>
      </c>
      <c r="I96">
        <v>58</v>
      </c>
      <c r="J96" t="s">
        <v>13</v>
      </c>
      <c r="K96">
        <v>4</v>
      </c>
    </row>
    <row r="97" spans="1:11" x14ac:dyDescent="0.25">
      <c r="A97">
        <v>96</v>
      </c>
      <c r="B97" t="s">
        <v>16</v>
      </c>
      <c r="C97" t="s">
        <v>12</v>
      </c>
      <c r="D97">
        <v>326</v>
      </c>
      <c r="E97">
        <v>7.2</v>
      </c>
      <c r="F97">
        <v>2243</v>
      </c>
      <c r="G97">
        <v>73</v>
      </c>
      <c r="H97">
        <v>1454</v>
      </c>
      <c r="I97">
        <v>50</v>
      </c>
      <c r="J97" t="s">
        <v>13</v>
      </c>
      <c r="K97">
        <v>4</v>
      </c>
    </row>
    <row r="98" spans="1:11" x14ac:dyDescent="0.25">
      <c r="A98">
        <v>97</v>
      </c>
      <c r="B98" t="s">
        <v>17</v>
      </c>
      <c r="C98" t="s">
        <v>18</v>
      </c>
      <c r="D98">
        <v>550</v>
      </c>
      <c r="E98">
        <v>9.5</v>
      </c>
      <c r="F98">
        <v>2916</v>
      </c>
      <c r="G98">
        <v>91</v>
      </c>
      <c r="H98">
        <v>1946</v>
      </c>
      <c r="I98">
        <v>20</v>
      </c>
      <c r="J98" t="s">
        <v>13</v>
      </c>
      <c r="K98">
        <v>5</v>
      </c>
    </row>
    <row r="99" spans="1:11" x14ac:dyDescent="0.25">
      <c r="A99">
        <v>98</v>
      </c>
      <c r="B99" t="s">
        <v>14</v>
      </c>
      <c r="C99" t="s">
        <v>12</v>
      </c>
      <c r="D99">
        <v>516</v>
      </c>
      <c r="E99">
        <v>12</v>
      </c>
      <c r="F99">
        <v>2406</v>
      </c>
      <c r="G99">
        <v>82</v>
      </c>
      <c r="H99">
        <v>1968</v>
      </c>
      <c r="I99">
        <v>28</v>
      </c>
      <c r="J99" t="s">
        <v>15</v>
      </c>
      <c r="K99">
        <v>5</v>
      </c>
    </row>
    <row r="100" spans="1:11" x14ac:dyDescent="0.25">
      <c r="A100">
        <v>99</v>
      </c>
      <c r="B100" t="s">
        <v>11</v>
      </c>
      <c r="C100" t="s">
        <v>12</v>
      </c>
      <c r="D100">
        <v>59</v>
      </c>
      <c r="E100">
        <v>1.2</v>
      </c>
      <c r="F100">
        <v>361</v>
      </c>
      <c r="G100">
        <v>18</v>
      </c>
      <c r="H100">
        <v>293</v>
      </c>
      <c r="I100">
        <v>25</v>
      </c>
      <c r="J100" t="s">
        <v>15</v>
      </c>
      <c r="K100">
        <v>1</v>
      </c>
    </row>
    <row r="101" spans="1:11" x14ac:dyDescent="0.25">
      <c r="A101">
        <v>100</v>
      </c>
      <c r="B101" t="s">
        <v>14</v>
      </c>
      <c r="C101" t="s">
        <v>12</v>
      </c>
      <c r="D101">
        <v>225</v>
      </c>
      <c r="E101">
        <v>5.5</v>
      </c>
      <c r="F101">
        <v>1526</v>
      </c>
      <c r="G101">
        <v>44</v>
      </c>
      <c r="H101">
        <v>875</v>
      </c>
      <c r="I101">
        <v>50</v>
      </c>
      <c r="J101" t="s">
        <v>15</v>
      </c>
      <c r="K101">
        <v>3</v>
      </c>
    </row>
    <row r="102" spans="1:11" x14ac:dyDescent="0.25">
      <c r="A102">
        <v>101</v>
      </c>
      <c r="B102" t="s">
        <v>11</v>
      </c>
      <c r="C102" t="s">
        <v>12</v>
      </c>
      <c r="D102">
        <v>41</v>
      </c>
      <c r="E102">
        <v>1.1000000000000001</v>
      </c>
      <c r="F102">
        <v>389</v>
      </c>
      <c r="G102">
        <v>15</v>
      </c>
      <c r="H102">
        <v>136</v>
      </c>
      <c r="I102">
        <v>53</v>
      </c>
      <c r="J102" t="s">
        <v>13</v>
      </c>
      <c r="K102">
        <v>1</v>
      </c>
    </row>
    <row r="103" spans="1:11" x14ac:dyDescent="0.25">
      <c r="A103">
        <v>102</v>
      </c>
      <c r="B103" t="s">
        <v>14</v>
      </c>
      <c r="C103" t="s">
        <v>12</v>
      </c>
      <c r="D103">
        <v>183</v>
      </c>
      <c r="E103">
        <v>4.0999999999999996</v>
      </c>
      <c r="F103">
        <v>1210</v>
      </c>
      <c r="G103">
        <v>45</v>
      </c>
      <c r="H103">
        <v>738</v>
      </c>
      <c r="I103">
        <v>19</v>
      </c>
      <c r="J103" t="s">
        <v>13</v>
      </c>
      <c r="K103">
        <v>3</v>
      </c>
    </row>
    <row r="104" spans="1:11" x14ac:dyDescent="0.25">
      <c r="A104">
        <v>103</v>
      </c>
      <c r="B104" t="s">
        <v>11</v>
      </c>
      <c r="C104" t="s">
        <v>12</v>
      </c>
      <c r="D104">
        <v>174</v>
      </c>
      <c r="E104">
        <v>2.5</v>
      </c>
      <c r="F104">
        <v>929</v>
      </c>
      <c r="G104">
        <v>37</v>
      </c>
      <c r="H104">
        <v>565</v>
      </c>
      <c r="I104">
        <v>32</v>
      </c>
      <c r="J104" t="s">
        <v>15</v>
      </c>
      <c r="K104">
        <v>2</v>
      </c>
    </row>
    <row r="105" spans="1:11" x14ac:dyDescent="0.25">
      <c r="A105">
        <v>104</v>
      </c>
      <c r="B105" t="s">
        <v>16</v>
      </c>
      <c r="C105" t="s">
        <v>12</v>
      </c>
      <c r="D105">
        <v>274</v>
      </c>
      <c r="E105">
        <v>4.2</v>
      </c>
      <c r="F105">
        <v>1781</v>
      </c>
      <c r="G105">
        <v>52</v>
      </c>
      <c r="H105">
        <v>934</v>
      </c>
      <c r="I105">
        <v>28</v>
      </c>
      <c r="J105" t="s">
        <v>13</v>
      </c>
      <c r="K105">
        <v>3</v>
      </c>
    </row>
    <row r="106" spans="1:11" x14ac:dyDescent="0.25">
      <c r="A106">
        <v>105</v>
      </c>
      <c r="B106" t="s">
        <v>16</v>
      </c>
      <c r="C106" t="s">
        <v>12</v>
      </c>
      <c r="D106">
        <v>166</v>
      </c>
      <c r="E106">
        <v>2.8</v>
      </c>
      <c r="F106">
        <v>1113</v>
      </c>
      <c r="G106">
        <v>28</v>
      </c>
      <c r="H106">
        <v>360</v>
      </c>
      <c r="I106">
        <v>25</v>
      </c>
      <c r="J106" t="s">
        <v>13</v>
      </c>
      <c r="K106">
        <v>2</v>
      </c>
    </row>
    <row r="107" spans="1:11" x14ac:dyDescent="0.25">
      <c r="A107">
        <v>106</v>
      </c>
      <c r="B107" t="s">
        <v>16</v>
      </c>
      <c r="C107" t="s">
        <v>12</v>
      </c>
      <c r="D107">
        <v>66</v>
      </c>
      <c r="E107">
        <v>1.2</v>
      </c>
      <c r="F107">
        <v>585</v>
      </c>
      <c r="G107">
        <v>12</v>
      </c>
      <c r="H107">
        <v>264</v>
      </c>
      <c r="I107">
        <v>36</v>
      </c>
      <c r="J107" t="s">
        <v>13</v>
      </c>
      <c r="K107">
        <v>1</v>
      </c>
    </row>
    <row r="108" spans="1:11" x14ac:dyDescent="0.25">
      <c r="A108">
        <v>107</v>
      </c>
      <c r="B108" t="s">
        <v>11</v>
      </c>
      <c r="C108" t="s">
        <v>12</v>
      </c>
      <c r="D108">
        <v>152</v>
      </c>
      <c r="E108">
        <v>2.7</v>
      </c>
      <c r="F108">
        <v>642</v>
      </c>
      <c r="G108">
        <v>38</v>
      </c>
      <c r="H108">
        <v>596</v>
      </c>
      <c r="I108">
        <v>55</v>
      </c>
      <c r="J108" t="s">
        <v>13</v>
      </c>
      <c r="K108">
        <v>2</v>
      </c>
    </row>
    <row r="109" spans="1:11" x14ac:dyDescent="0.25">
      <c r="A109">
        <v>108</v>
      </c>
      <c r="B109" t="s">
        <v>11</v>
      </c>
      <c r="C109" t="s">
        <v>12</v>
      </c>
      <c r="D109">
        <v>54</v>
      </c>
      <c r="E109">
        <v>1.4</v>
      </c>
      <c r="F109">
        <v>403</v>
      </c>
      <c r="G109">
        <v>17</v>
      </c>
      <c r="H109">
        <v>278</v>
      </c>
      <c r="I109">
        <v>23</v>
      </c>
      <c r="J109" t="s">
        <v>15</v>
      </c>
      <c r="K109">
        <v>1</v>
      </c>
    </row>
    <row r="110" spans="1:11" x14ac:dyDescent="0.25">
      <c r="A110">
        <v>109</v>
      </c>
      <c r="B110" t="s">
        <v>16</v>
      </c>
      <c r="C110" t="s">
        <v>12</v>
      </c>
      <c r="D110">
        <v>187</v>
      </c>
      <c r="E110">
        <v>5.5</v>
      </c>
      <c r="F110">
        <v>1754</v>
      </c>
      <c r="G110">
        <v>55</v>
      </c>
      <c r="H110">
        <v>711</v>
      </c>
      <c r="I110">
        <v>50</v>
      </c>
      <c r="J110" t="s">
        <v>15</v>
      </c>
      <c r="K110">
        <v>3</v>
      </c>
    </row>
    <row r="111" spans="1:11" x14ac:dyDescent="0.25">
      <c r="A111">
        <v>110</v>
      </c>
      <c r="B111" t="s">
        <v>14</v>
      </c>
      <c r="C111" t="s">
        <v>12</v>
      </c>
      <c r="D111">
        <v>216</v>
      </c>
      <c r="E111">
        <v>6</v>
      </c>
      <c r="F111">
        <v>1641</v>
      </c>
      <c r="G111">
        <v>41</v>
      </c>
      <c r="H111">
        <v>889</v>
      </c>
      <c r="I111">
        <v>39</v>
      </c>
      <c r="J111" t="s">
        <v>15</v>
      </c>
      <c r="K111">
        <v>3</v>
      </c>
    </row>
    <row r="112" spans="1:11" x14ac:dyDescent="0.25">
      <c r="A112">
        <v>111</v>
      </c>
      <c r="B112" t="s">
        <v>14</v>
      </c>
      <c r="C112" t="s">
        <v>12</v>
      </c>
      <c r="D112">
        <v>95</v>
      </c>
      <c r="E112">
        <v>3.8</v>
      </c>
      <c r="F112">
        <v>718</v>
      </c>
      <c r="G112">
        <v>26</v>
      </c>
      <c r="H112">
        <v>459</v>
      </c>
      <c r="I112">
        <v>41</v>
      </c>
      <c r="J112" t="s">
        <v>15</v>
      </c>
      <c r="K112">
        <v>2</v>
      </c>
    </row>
    <row r="113" spans="1:11" x14ac:dyDescent="0.25">
      <c r="A113">
        <v>112</v>
      </c>
      <c r="B113" t="s">
        <v>16</v>
      </c>
      <c r="C113" t="s">
        <v>12</v>
      </c>
      <c r="D113">
        <v>488</v>
      </c>
      <c r="E113">
        <v>8.6</v>
      </c>
      <c r="F113">
        <v>2447</v>
      </c>
      <c r="G113">
        <v>84</v>
      </c>
      <c r="H113">
        <v>2344</v>
      </c>
      <c r="I113">
        <v>19</v>
      </c>
      <c r="J113" t="s">
        <v>13</v>
      </c>
      <c r="K113">
        <v>5</v>
      </c>
    </row>
    <row r="114" spans="1:11" x14ac:dyDescent="0.25">
      <c r="A114">
        <v>113</v>
      </c>
      <c r="B114" t="s">
        <v>11</v>
      </c>
      <c r="C114" t="s">
        <v>12</v>
      </c>
      <c r="D114">
        <v>295</v>
      </c>
      <c r="E114">
        <v>5.0999999999999996</v>
      </c>
      <c r="F114">
        <v>1483</v>
      </c>
      <c r="G114">
        <v>45</v>
      </c>
      <c r="H114">
        <v>748</v>
      </c>
      <c r="I114">
        <v>27</v>
      </c>
      <c r="J114" t="s">
        <v>15</v>
      </c>
      <c r="K114">
        <v>3</v>
      </c>
    </row>
    <row r="115" spans="1:11" x14ac:dyDescent="0.25">
      <c r="A115">
        <v>114</v>
      </c>
      <c r="B115" t="s">
        <v>19</v>
      </c>
      <c r="C115" t="s">
        <v>12</v>
      </c>
      <c r="D115">
        <v>136</v>
      </c>
      <c r="E115">
        <v>3.2</v>
      </c>
      <c r="F115">
        <v>818</v>
      </c>
      <c r="G115">
        <v>33</v>
      </c>
      <c r="H115">
        <v>404</v>
      </c>
      <c r="I115">
        <v>42</v>
      </c>
      <c r="J115" t="s">
        <v>13</v>
      </c>
      <c r="K115">
        <v>2</v>
      </c>
    </row>
    <row r="116" spans="1:11" x14ac:dyDescent="0.25">
      <c r="A116">
        <v>115</v>
      </c>
      <c r="B116" t="s">
        <v>16</v>
      </c>
      <c r="C116" t="s">
        <v>12</v>
      </c>
      <c r="D116">
        <v>471</v>
      </c>
      <c r="E116">
        <v>7.9</v>
      </c>
      <c r="F116">
        <v>2156</v>
      </c>
      <c r="G116">
        <v>76</v>
      </c>
      <c r="H116">
        <v>1324</v>
      </c>
      <c r="I116">
        <v>54</v>
      </c>
      <c r="J116" t="s">
        <v>15</v>
      </c>
      <c r="K116">
        <v>4</v>
      </c>
    </row>
    <row r="117" spans="1:11" x14ac:dyDescent="0.25">
      <c r="A117">
        <v>116</v>
      </c>
      <c r="B117" t="s">
        <v>17</v>
      </c>
      <c r="C117" t="s">
        <v>18</v>
      </c>
      <c r="D117">
        <v>121</v>
      </c>
      <c r="E117">
        <v>3.2</v>
      </c>
      <c r="F117">
        <v>651</v>
      </c>
      <c r="G117">
        <v>34</v>
      </c>
      <c r="H117">
        <v>596</v>
      </c>
      <c r="I117">
        <v>39</v>
      </c>
      <c r="J117" t="s">
        <v>13</v>
      </c>
      <c r="K117">
        <v>2</v>
      </c>
    </row>
    <row r="118" spans="1:11" x14ac:dyDescent="0.25">
      <c r="A118">
        <v>117</v>
      </c>
      <c r="B118" t="s">
        <v>17</v>
      </c>
      <c r="C118" t="s">
        <v>18</v>
      </c>
      <c r="D118">
        <v>75</v>
      </c>
      <c r="E118">
        <v>1.2</v>
      </c>
      <c r="F118">
        <v>409</v>
      </c>
      <c r="G118">
        <v>13</v>
      </c>
      <c r="H118">
        <v>281</v>
      </c>
      <c r="I118">
        <v>18</v>
      </c>
      <c r="J118" t="s">
        <v>13</v>
      </c>
      <c r="K118">
        <v>1</v>
      </c>
    </row>
    <row r="119" spans="1:11" x14ac:dyDescent="0.25">
      <c r="A119">
        <v>118</v>
      </c>
      <c r="B119" t="s">
        <v>17</v>
      </c>
      <c r="C119" t="s">
        <v>18</v>
      </c>
      <c r="D119">
        <v>220</v>
      </c>
      <c r="E119">
        <v>5.2</v>
      </c>
      <c r="F119">
        <v>1631</v>
      </c>
      <c r="G119">
        <v>49</v>
      </c>
      <c r="H119">
        <v>909</v>
      </c>
      <c r="I119">
        <v>27</v>
      </c>
      <c r="J119" t="s">
        <v>15</v>
      </c>
      <c r="K119">
        <v>3</v>
      </c>
    </row>
    <row r="120" spans="1:11" x14ac:dyDescent="0.25">
      <c r="A120">
        <v>119</v>
      </c>
      <c r="B120" t="s">
        <v>19</v>
      </c>
      <c r="C120" t="s">
        <v>12</v>
      </c>
      <c r="D120">
        <v>82</v>
      </c>
      <c r="E120">
        <v>1.6</v>
      </c>
      <c r="F120">
        <v>590</v>
      </c>
      <c r="G120">
        <v>13</v>
      </c>
      <c r="H120">
        <v>124</v>
      </c>
      <c r="I120">
        <v>28</v>
      </c>
      <c r="J120" t="s">
        <v>15</v>
      </c>
      <c r="K120">
        <v>1</v>
      </c>
    </row>
    <row r="121" spans="1:11" x14ac:dyDescent="0.25">
      <c r="A121">
        <v>120</v>
      </c>
      <c r="B121" t="s">
        <v>11</v>
      </c>
      <c r="C121" t="s">
        <v>12</v>
      </c>
      <c r="D121">
        <v>97</v>
      </c>
      <c r="E121">
        <v>2.7</v>
      </c>
      <c r="F121">
        <v>1018</v>
      </c>
      <c r="G121">
        <v>37</v>
      </c>
      <c r="H121">
        <v>428</v>
      </c>
      <c r="I121">
        <v>41</v>
      </c>
      <c r="J121" t="s">
        <v>13</v>
      </c>
      <c r="K121">
        <v>2</v>
      </c>
    </row>
    <row r="122" spans="1:11" x14ac:dyDescent="0.25">
      <c r="A122">
        <v>121</v>
      </c>
      <c r="B122" t="s">
        <v>19</v>
      </c>
      <c r="C122" t="s">
        <v>12</v>
      </c>
      <c r="D122">
        <v>388</v>
      </c>
      <c r="E122">
        <v>6.6</v>
      </c>
      <c r="F122">
        <v>2085</v>
      </c>
      <c r="G122">
        <v>71</v>
      </c>
      <c r="H122">
        <v>1150</v>
      </c>
      <c r="I122">
        <v>45</v>
      </c>
      <c r="J122" t="s">
        <v>15</v>
      </c>
      <c r="K122">
        <v>4</v>
      </c>
    </row>
    <row r="123" spans="1:11" x14ac:dyDescent="0.25">
      <c r="A123">
        <v>122</v>
      </c>
      <c r="B123" t="s">
        <v>14</v>
      </c>
      <c r="C123" t="s">
        <v>12</v>
      </c>
      <c r="D123">
        <v>529</v>
      </c>
      <c r="E123">
        <v>8.6999999999999993</v>
      </c>
      <c r="F123">
        <v>2484</v>
      </c>
      <c r="G123">
        <v>89</v>
      </c>
      <c r="H123">
        <v>2189</v>
      </c>
      <c r="I123">
        <v>39</v>
      </c>
      <c r="J123" t="s">
        <v>15</v>
      </c>
      <c r="K123">
        <v>5</v>
      </c>
    </row>
    <row r="124" spans="1:11" x14ac:dyDescent="0.25">
      <c r="A124">
        <v>123</v>
      </c>
      <c r="B124" t="s">
        <v>11</v>
      </c>
      <c r="C124" t="s">
        <v>12</v>
      </c>
      <c r="D124">
        <v>584</v>
      </c>
      <c r="E124">
        <v>10</v>
      </c>
      <c r="F124">
        <v>2541</v>
      </c>
      <c r="G124">
        <v>99</v>
      </c>
      <c r="H124">
        <v>2391</v>
      </c>
      <c r="I124">
        <v>49</v>
      </c>
      <c r="J124" t="s">
        <v>15</v>
      </c>
      <c r="K124">
        <v>5</v>
      </c>
    </row>
    <row r="125" spans="1:11" x14ac:dyDescent="0.25">
      <c r="A125">
        <v>124</v>
      </c>
      <c r="B125" t="s">
        <v>11</v>
      </c>
      <c r="C125" t="s">
        <v>12</v>
      </c>
      <c r="D125">
        <v>529</v>
      </c>
      <c r="E125">
        <v>8.1</v>
      </c>
      <c r="F125">
        <v>2686</v>
      </c>
      <c r="G125">
        <v>96</v>
      </c>
      <c r="H125">
        <v>1924</v>
      </c>
      <c r="I125">
        <v>35</v>
      </c>
      <c r="J125" t="s">
        <v>13</v>
      </c>
      <c r="K125">
        <v>5</v>
      </c>
    </row>
    <row r="126" spans="1:11" x14ac:dyDescent="0.25">
      <c r="A126">
        <v>125</v>
      </c>
      <c r="B126" t="s">
        <v>11</v>
      </c>
      <c r="C126" t="s">
        <v>12</v>
      </c>
      <c r="D126">
        <v>227</v>
      </c>
      <c r="E126">
        <v>5.0999999999999996</v>
      </c>
      <c r="F126">
        <v>1702</v>
      </c>
      <c r="G126">
        <v>57</v>
      </c>
      <c r="H126">
        <v>714</v>
      </c>
      <c r="I126">
        <v>21</v>
      </c>
      <c r="J126" t="s">
        <v>13</v>
      </c>
      <c r="K126">
        <v>3</v>
      </c>
    </row>
    <row r="127" spans="1:11" x14ac:dyDescent="0.25">
      <c r="A127">
        <v>126</v>
      </c>
      <c r="B127" t="s">
        <v>19</v>
      </c>
      <c r="C127" t="s">
        <v>12</v>
      </c>
      <c r="D127">
        <v>535</v>
      </c>
      <c r="E127">
        <v>11.8</v>
      </c>
      <c r="F127">
        <v>2858</v>
      </c>
      <c r="G127">
        <v>99</v>
      </c>
      <c r="H127">
        <v>2378</v>
      </c>
      <c r="I127">
        <v>50</v>
      </c>
      <c r="J127" t="s">
        <v>13</v>
      </c>
      <c r="K127">
        <v>5</v>
      </c>
    </row>
    <row r="128" spans="1:11" x14ac:dyDescent="0.25">
      <c r="A128">
        <v>127</v>
      </c>
      <c r="B128" t="s">
        <v>17</v>
      </c>
      <c r="C128" t="s">
        <v>18</v>
      </c>
      <c r="D128">
        <v>332</v>
      </c>
      <c r="E128">
        <v>7.4</v>
      </c>
      <c r="F128">
        <v>2149</v>
      </c>
      <c r="G128">
        <v>68</v>
      </c>
      <c r="H128">
        <v>1321</v>
      </c>
      <c r="I128">
        <v>20</v>
      </c>
      <c r="J128" t="s">
        <v>15</v>
      </c>
      <c r="K128">
        <v>4</v>
      </c>
    </row>
    <row r="129" spans="1:11" x14ac:dyDescent="0.25">
      <c r="A129">
        <v>128</v>
      </c>
      <c r="B129" t="s">
        <v>11</v>
      </c>
      <c r="C129" t="s">
        <v>12</v>
      </c>
      <c r="D129">
        <v>252</v>
      </c>
      <c r="E129">
        <v>4.2</v>
      </c>
      <c r="F129">
        <v>1439</v>
      </c>
      <c r="G129">
        <v>45</v>
      </c>
      <c r="H129">
        <v>667</v>
      </c>
      <c r="I129">
        <v>50</v>
      </c>
      <c r="J129" t="s">
        <v>15</v>
      </c>
      <c r="K129">
        <v>3</v>
      </c>
    </row>
    <row r="130" spans="1:11" x14ac:dyDescent="0.25">
      <c r="A130">
        <v>129</v>
      </c>
      <c r="B130" t="s">
        <v>16</v>
      </c>
      <c r="C130" t="s">
        <v>12</v>
      </c>
      <c r="D130">
        <v>125</v>
      </c>
      <c r="E130">
        <v>2.5</v>
      </c>
      <c r="F130">
        <v>678</v>
      </c>
      <c r="G130">
        <v>34</v>
      </c>
      <c r="H130">
        <v>465</v>
      </c>
      <c r="I130">
        <v>31</v>
      </c>
      <c r="J130" t="s">
        <v>13</v>
      </c>
      <c r="K130">
        <v>2</v>
      </c>
    </row>
    <row r="131" spans="1:11" x14ac:dyDescent="0.25">
      <c r="A131">
        <v>130</v>
      </c>
      <c r="B131" t="s">
        <v>16</v>
      </c>
      <c r="C131" t="s">
        <v>12</v>
      </c>
      <c r="D131">
        <v>97</v>
      </c>
      <c r="E131">
        <v>3.3</v>
      </c>
      <c r="F131">
        <v>751</v>
      </c>
      <c r="G131">
        <v>39</v>
      </c>
      <c r="H131">
        <v>412</v>
      </c>
      <c r="I131">
        <v>36</v>
      </c>
      <c r="J131" t="s">
        <v>15</v>
      </c>
      <c r="K131">
        <v>2</v>
      </c>
    </row>
    <row r="132" spans="1:11" x14ac:dyDescent="0.25">
      <c r="A132">
        <v>131</v>
      </c>
      <c r="B132" t="s">
        <v>11</v>
      </c>
      <c r="C132" t="s">
        <v>12</v>
      </c>
      <c r="D132">
        <v>540</v>
      </c>
      <c r="E132">
        <v>10.8</v>
      </c>
      <c r="F132">
        <v>2923</v>
      </c>
      <c r="G132">
        <v>90</v>
      </c>
      <c r="H132">
        <v>1886</v>
      </c>
      <c r="I132">
        <v>40</v>
      </c>
      <c r="J132" t="s">
        <v>13</v>
      </c>
      <c r="K132">
        <v>5</v>
      </c>
    </row>
    <row r="133" spans="1:11" x14ac:dyDescent="0.25">
      <c r="A133">
        <v>132</v>
      </c>
      <c r="B133" t="s">
        <v>16</v>
      </c>
      <c r="C133" t="s">
        <v>12</v>
      </c>
      <c r="D133">
        <v>320</v>
      </c>
      <c r="E133">
        <v>7.2</v>
      </c>
      <c r="F133">
        <v>2056</v>
      </c>
      <c r="G133">
        <v>69</v>
      </c>
      <c r="H133">
        <v>1226</v>
      </c>
      <c r="I133">
        <v>52</v>
      </c>
      <c r="J133" t="s">
        <v>15</v>
      </c>
      <c r="K133">
        <v>4</v>
      </c>
    </row>
    <row r="134" spans="1:11" x14ac:dyDescent="0.25">
      <c r="A134">
        <v>133</v>
      </c>
      <c r="B134" t="s">
        <v>11</v>
      </c>
      <c r="C134" t="s">
        <v>12</v>
      </c>
      <c r="D134">
        <v>176</v>
      </c>
      <c r="E134">
        <v>3.6</v>
      </c>
      <c r="F134">
        <v>1193</v>
      </c>
      <c r="G134">
        <v>30</v>
      </c>
      <c r="H134">
        <v>458</v>
      </c>
      <c r="I134">
        <v>40</v>
      </c>
      <c r="J134" t="s">
        <v>15</v>
      </c>
      <c r="K134">
        <v>2</v>
      </c>
    </row>
    <row r="135" spans="1:11" x14ac:dyDescent="0.25">
      <c r="A135">
        <v>134</v>
      </c>
      <c r="B135" t="s">
        <v>19</v>
      </c>
      <c r="C135" t="s">
        <v>12</v>
      </c>
      <c r="D135">
        <v>79</v>
      </c>
      <c r="E135">
        <v>1</v>
      </c>
      <c r="F135">
        <v>313</v>
      </c>
      <c r="G135">
        <v>18</v>
      </c>
      <c r="H135">
        <v>139</v>
      </c>
      <c r="I135">
        <v>42</v>
      </c>
      <c r="J135" t="s">
        <v>13</v>
      </c>
      <c r="K135">
        <v>1</v>
      </c>
    </row>
    <row r="136" spans="1:11" x14ac:dyDescent="0.25">
      <c r="A136">
        <v>135</v>
      </c>
      <c r="B136" t="s">
        <v>16</v>
      </c>
      <c r="C136" t="s">
        <v>12</v>
      </c>
      <c r="D136">
        <v>83</v>
      </c>
      <c r="E136">
        <v>1.6</v>
      </c>
      <c r="F136">
        <v>303</v>
      </c>
      <c r="G136">
        <v>19</v>
      </c>
      <c r="H136">
        <v>285</v>
      </c>
      <c r="I136">
        <v>51</v>
      </c>
      <c r="J136" t="s">
        <v>13</v>
      </c>
      <c r="K136">
        <v>1</v>
      </c>
    </row>
    <row r="137" spans="1:11" x14ac:dyDescent="0.25">
      <c r="A137">
        <v>136</v>
      </c>
      <c r="B137" t="s">
        <v>17</v>
      </c>
      <c r="C137" t="s">
        <v>18</v>
      </c>
      <c r="D137">
        <v>555</v>
      </c>
      <c r="E137">
        <v>11.3</v>
      </c>
      <c r="F137">
        <v>2528</v>
      </c>
      <c r="G137">
        <v>90</v>
      </c>
      <c r="H137">
        <v>1856</v>
      </c>
      <c r="I137">
        <v>55</v>
      </c>
      <c r="J137" t="s">
        <v>15</v>
      </c>
      <c r="K137">
        <v>5</v>
      </c>
    </row>
    <row r="138" spans="1:11" x14ac:dyDescent="0.25">
      <c r="A138">
        <v>137</v>
      </c>
      <c r="B138" t="s">
        <v>19</v>
      </c>
      <c r="C138" t="s">
        <v>12</v>
      </c>
      <c r="D138">
        <v>66</v>
      </c>
      <c r="E138">
        <v>1.7</v>
      </c>
      <c r="F138">
        <v>375</v>
      </c>
      <c r="G138">
        <v>16</v>
      </c>
      <c r="H138">
        <v>216</v>
      </c>
      <c r="I138">
        <v>39</v>
      </c>
      <c r="J138" t="s">
        <v>13</v>
      </c>
      <c r="K138">
        <v>1</v>
      </c>
    </row>
    <row r="139" spans="1:11" x14ac:dyDescent="0.25">
      <c r="A139">
        <v>138</v>
      </c>
      <c r="B139" t="s">
        <v>16</v>
      </c>
      <c r="C139" t="s">
        <v>12</v>
      </c>
      <c r="D139">
        <v>237</v>
      </c>
      <c r="E139">
        <v>4.5</v>
      </c>
      <c r="F139">
        <v>1368</v>
      </c>
      <c r="G139">
        <v>42</v>
      </c>
      <c r="H139">
        <v>868</v>
      </c>
      <c r="I139">
        <v>24</v>
      </c>
      <c r="J139" t="s">
        <v>15</v>
      </c>
      <c r="K139">
        <v>3</v>
      </c>
    </row>
    <row r="140" spans="1:11" x14ac:dyDescent="0.25">
      <c r="A140">
        <v>139</v>
      </c>
      <c r="B140" t="s">
        <v>19</v>
      </c>
      <c r="C140" t="s">
        <v>12</v>
      </c>
      <c r="D140">
        <v>497</v>
      </c>
      <c r="E140">
        <v>9.6999999999999993</v>
      </c>
      <c r="F140">
        <v>2876</v>
      </c>
      <c r="G140">
        <v>94</v>
      </c>
      <c r="H140">
        <v>2076</v>
      </c>
      <c r="I140">
        <v>18</v>
      </c>
      <c r="J140" t="s">
        <v>13</v>
      </c>
      <c r="K140">
        <v>5</v>
      </c>
    </row>
    <row r="141" spans="1:11" x14ac:dyDescent="0.25">
      <c r="A141">
        <v>140</v>
      </c>
      <c r="B141" t="s">
        <v>11</v>
      </c>
      <c r="C141" t="s">
        <v>12</v>
      </c>
      <c r="D141">
        <v>516</v>
      </c>
      <c r="E141">
        <v>11.1</v>
      </c>
      <c r="F141">
        <v>2429</v>
      </c>
      <c r="G141">
        <v>91</v>
      </c>
      <c r="H141">
        <v>1796</v>
      </c>
      <c r="I141">
        <v>53</v>
      </c>
      <c r="J141" t="s">
        <v>13</v>
      </c>
      <c r="K141">
        <v>5</v>
      </c>
    </row>
    <row r="142" spans="1:11" x14ac:dyDescent="0.25">
      <c r="A142">
        <v>141</v>
      </c>
      <c r="B142" t="s">
        <v>16</v>
      </c>
      <c r="C142" t="s">
        <v>12</v>
      </c>
      <c r="D142">
        <v>219</v>
      </c>
      <c r="E142">
        <v>5.2</v>
      </c>
      <c r="F142">
        <v>1510</v>
      </c>
      <c r="G142">
        <v>42</v>
      </c>
      <c r="H142">
        <v>655</v>
      </c>
      <c r="I142">
        <v>50</v>
      </c>
      <c r="J142" t="s">
        <v>15</v>
      </c>
      <c r="K142">
        <v>3</v>
      </c>
    </row>
    <row r="143" spans="1:11" x14ac:dyDescent="0.25">
      <c r="A143">
        <v>142</v>
      </c>
      <c r="B143" t="s">
        <v>11</v>
      </c>
      <c r="C143" t="s">
        <v>12</v>
      </c>
      <c r="D143">
        <v>448</v>
      </c>
      <c r="E143">
        <v>6.3</v>
      </c>
      <c r="F143">
        <v>2044</v>
      </c>
      <c r="G143">
        <v>71</v>
      </c>
      <c r="H143">
        <v>1337</v>
      </c>
      <c r="I143">
        <v>51</v>
      </c>
      <c r="J143" t="s">
        <v>13</v>
      </c>
      <c r="K143">
        <v>4</v>
      </c>
    </row>
    <row r="144" spans="1:11" x14ac:dyDescent="0.25">
      <c r="A144">
        <v>143</v>
      </c>
      <c r="B144" t="s">
        <v>17</v>
      </c>
      <c r="C144" t="s">
        <v>18</v>
      </c>
      <c r="D144">
        <v>156</v>
      </c>
      <c r="E144">
        <v>2.2000000000000002</v>
      </c>
      <c r="F144">
        <v>896</v>
      </c>
      <c r="G144">
        <v>37</v>
      </c>
      <c r="H144">
        <v>429</v>
      </c>
      <c r="I144">
        <v>57</v>
      </c>
      <c r="J144" t="s">
        <v>15</v>
      </c>
      <c r="K144">
        <v>2</v>
      </c>
    </row>
    <row r="145" spans="1:11" x14ac:dyDescent="0.25">
      <c r="A145">
        <v>144</v>
      </c>
      <c r="B145" t="s">
        <v>19</v>
      </c>
      <c r="C145" t="s">
        <v>12</v>
      </c>
      <c r="D145">
        <v>68</v>
      </c>
      <c r="E145">
        <v>1.1000000000000001</v>
      </c>
      <c r="F145">
        <v>528</v>
      </c>
      <c r="G145">
        <v>12</v>
      </c>
      <c r="H145">
        <v>201</v>
      </c>
      <c r="I145">
        <v>29</v>
      </c>
      <c r="J145" t="s">
        <v>13</v>
      </c>
      <c r="K145">
        <v>1</v>
      </c>
    </row>
    <row r="146" spans="1:11" x14ac:dyDescent="0.25">
      <c r="A146">
        <v>145</v>
      </c>
      <c r="B146" t="s">
        <v>17</v>
      </c>
      <c r="C146" t="s">
        <v>18</v>
      </c>
      <c r="D146">
        <v>524</v>
      </c>
      <c r="E146">
        <v>11.2</v>
      </c>
      <c r="F146">
        <v>2417</v>
      </c>
      <c r="G146">
        <v>90</v>
      </c>
      <c r="H146">
        <v>2069</v>
      </c>
      <c r="I146">
        <v>29</v>
      </c>
      <c r="J146" t="s">
        <v>15</v>
      </c>
      <c r="K146">
        <v>5</v>
      </c>
    </row>
    <row r="147" spans="1:11" x14ac:dyDescent="0.25">
      <c r="A147">
        <v>146</v>
      </c>
      <c r="B147" t="s">
        <v>17</v>
      </c>
      <c r="C147" t="s">
        <v>18</v>
      </c>
      <c r="D147">
        <v>188</v>
      </c>
      <c r="E147">
        <v>5.3</v>
      </c>
      <c r="F147">
        <v>1281</v>
      </c>
      <c r="G147">
        <v>45</v>
      </c>
      <c r="H147">
        <v>974</v>
      </c>
      <c r="I147">
        <v>35</v>
      </c>
      <c r="J147" t="s">
        <v>13</v>
      </c>
      <c r="K147">
        <v>3</v>
      </c>
    </row>
    <row r="148" spans="1:11" x14ac:dyDescent="0.25">
      <c r="A148">
        <v>147</v>
      </c>
      <c r="B148" t="s">
        <v>19</v>
      </c>
      <c r="C148" t="s">
        <v>12</v>
      </c>
      <c r="D148">
        <v>443</v>
      </c>
      <c r="E148">
        <v>7.4</v>
      </c>
      <c r="F148">
        <v>2289</v>
      </c>
      <c r="G148">
        <v>73</v>
      </c>
      <c r="H148">
        <v>1026</v>
      </c>
      <c r="I148">
        <v>33</v>
      </c>
      <c r="J148" t="s">
        <v>13</v>
      </c>
      <c r="K148">
        <v>4</v>
      </c>
    </row>
    <row r="149" spans="1:11" x14ac:dyDescent="0.25">
      <c r="A149">
        <v>148</v>
      </c>
      <c r="B149" t="s">
        <v>16</v>
      </c>
      <c r="C149" t="s">
        <v>12</v>
      </c>
      <c r="D149">
        <v>52</v>
      </c>
      <c r="E149">
        <v>1.6</v>
      </c>
      <c r="F149">
        <v>385</v>
      </c>
      <c r="G149">
        <v>19</v>
      </c>
      <c r="H149">
        <v>234</v>
      </c>
      <c r="I149">
        <v>24</v>
      </c>
      <c r="J149" t="s">
        <v>13</v>
      </c>
      <c r="K149">
        <v>1</v>
      </c>
    </row>
    <row r="150" spans="1:11" x14ac:dyDescent="0.25">
      <c r="A150">
        <v>149</v>
      </c>
      <c r="B150" t="s">
        <v>14</v>
      </c>
      <c r="C150" t="s">
        <v>12</v>
      </c>
      <c r="D150">
        <v>228</v>
      </c>
      <c r="E150">
        <v>4.2</v>
      </c>
      <c r="F150">
        <v>1677</v>
      </c>
      <c r="G150">
        <v>58</v>
      </c>
      <c r="H150">
        <v>823</v>
      </c>
      <c r="I150">
        <v>56</v>
      </c>
      <c r="J150" t="s">
        <v>13</v>
      </c>
      <c r="K150">
        <v>3</v>
      </c>
    </row>
    <row r="151" spans="1:11" x14ac:dyDescent="0.25">
      <c r="A151">
        <v>150</v>
      </c>
      <c r="B151" t="s">
        <v>11</v>
      </c>
      <c r="C151" t="s">
        <v>12</v>
      </c>
      <c r="D151">
        <v>149</v>
      </c>
      <c r="E151">
        <v>3.7</v>
      </c>
      <c r="F151">
        <v>873</v>
      </c>
      <c r="G151">
        <v>34</v>
      </c>
      <c r="H151">
        <v>459</v>
      </c>
      <c r="I151">
        <v>51</v>
      </c>
      <c r="J151" t="s">
        <v>13</v>
      </c>
      <c r="K151">
        <v>2</v>
      </c>
    </row>
    <row r="152" spans="1:11" x14ac:dyDescent="0.25">
      <c r="A152">
        <v>151</v>
      </c>
      <c r="B152" t="s">
        <v>17</v>
      </c>
      <c r="C152" t="s">
        <v>18</v>
      </c>
      <c r="D152">
        <v>523</v>
      </c>
      <c r="E152">
        <v>9.4</v>
      </c>
      <c r="F152">
        <v>2583</v>
      </c>
      <c r="G152">
        <v>92</v>
      </c>
      <c r="H152">
        <v>1539</v>
      </c>
      <c r="I152">
        <v>21</v>
      </c>
      <c r="J152" t="s">
        <v>13</v>
      </c>
      <c r="K152">
        <v>5</v>
      </c>
    </row>
    <row r="153" spans="1:11" x14ac:dyDescent="0.25">
      <c r="A153">
        <v>152</v>
      </c>
      <c r="B153" t="s">
        <v>19</v>
      </c>
      <c r="C153" t="s">
        <v>12</v>
      </c>
      <c r="D153">
        <v>42</v>
      </c>
      <c r="E153">
        <v>1.6</v>
      </c>
      <c r="F153">
        <v>315</v>
      </c>
      <c r="G153">
        <v>19</v>
      </c>
      <c r="H153">
        <v>207</v>
      </c>
      <c r="I153">
        <v>52</v>
      </c>
      <c r="J153" t="s">
        <v>15</v>
      </c>
      <c r="K153">
        <v>1</v>
      </c>
    </row>
    <row r="154" spans="1:11" x14ac:dyDescent="0.25">
      <c r="A154">
        <v>153</v>
      </c>
      <c r="B154" t="s">
        <v>11</v>
      </c>
      <c r="C154" t="s">
        <v>12</v>
      </c>
      <c r="D154">
        <v>120</v>
      </c>
      <c r="E154">
        <v>2</v>
      </c>
      <c r="F154">
        <v>741</v>
      </c>
      <c r="G154">
        <v>38</v>
      </c>
      <c r="H154">
        <v>396</v>
      </c>
      <c r="I154">
        <v>56</v>
      </c>
      <c r="J154" t="s">
        <v>15</v>
      </c>
      <c r="K154">
        <v>2</v>
      </c>
    </row>
    <row r="155" spans="1:11" x14ac:dyDescent="0.25">
      <c r="A155">
        <v>154</v>
      </c>
      <c r="B155" t="s">
        <v>14</v>
      </c>
      <c r="C155" t="s">
        <v>12</v>
      </c>
      <c r="D155">
        <v>329</v>
      </c>
      <c r="E155">
        <v>7.5</v>
      </c>
      <c r="F155">
        <v>2277</v>
      </c>
      <c r="G155">
        <v>72</v>
      </c>
      <c r="H155">
        <v>1185</v>
      </c>
      <c r="I155">
        <v>27</v>
      </c>
      <c r="J155" t="s">
        <v>15</v>
      </c>
      <c r="K155">
        <v>4</v>
      </c>
    </row>
    <row r="156" spans="1:11" x14ac:dyDescent="0.25">
      <c r="A156">
        <v>155</v>
      </c>
      <c r="B156" t="s">
        <v>16</v>
      </c>
      <c r="C156" t="s">
        <v>12</v>
      </c>
      <c r="D156">
        <v>68</v>
      </c>
      <c r="E156">
        <v>1.5</v>
      </c>
      <c r="F156">
        <v>364</v>
      </c>
      <c r="G156">
        <v>10</v>
      </c>
      <c r="H156">
        <v>102</v>
      </c>
      <c r="I156">
        <v>31</v>
      </c>
      <c r="J156" t="s">
        <v>15</v>
      </c>
      <c r="K156">
        <v>1</v>
      </c>
    </row>
    <row r="157" spans="1:11" x14ac:dyDescent="0.25">
      <c r="A157">
        <v>156</v>
      </c>
      <c r="B157" t="s">
        <v>16</v>
      </c>
      <c r="C157" t="s">
        <v>12</v>
      </c>
      <c r="D157">
        <v>158</v>
      </c>
      <c r="E157">
        <v>3.4</v>
      </c>
      <c r="F157">
        <v>893</v>
      </c>
      <c r="G157">
        <v>36</v>
      </c>
      <c r="H157">
        <v>493</v>
      </c>
      <c r="I157">
        <v>32</v>
      </c>
      <c r="J157" t="s">
        <v>13</v>
      </c>
      <c r="K157">
        <v>2</v>
      </c>
    </row>
    <row r="158" spans="1:11" x14ac:dyDescent="0.25">
      <c r="A158">
        <v>157</v>
      </c>
      <c r="B158" t="s">
        <v>16</v>
      </c>
      <c r="C158" t="s">
        <v>12</v>
      </c>
      <c r="D158">
        <v>86</v>
      </c>
      <c r="E158">
        <v>1.7</v>
      </c>
      <c r="F158">
        <v>439</v>
      </c>
      <c r="G158">
        <v>19</v>
      </c>
      <c r="H158">
        <v>136</v>
      </c>
      <c r="I158">
        <v>54</v>
      </c>
      <c r="J158" t="s">
        <v>13</v>
      </c>
      <c r="K158">
        <v>1</v>
      </c>
    </row>
    <row r="159" spans="1:11" x14ac:dyDescent="0.25">
      <c r="A159">
        <v>158</v>
      </c>
      <c r="B159" t="s">
        <v>16</v>
      </c>
      <c r="C159" t="s">
        <v>12</v>
      </c>
      <c r="D159">
        <v>339</v>
      </c>
      <c r="E159">
        <v>7.8</v>
      </c>
      <c r="F159">
        <v>2102</v>
      </c>
      <c r="G159">
        <v>71</v>
      </c>
      <c r="H159">
        <v>1062</v>
      </c>
      <c r="I159">
        <v>51</v>
      </c>
      <c r="J159" t="s">
        <v>13</v>
      </c>
      <c r="K159">
        <v>4</v>
      </c>
    </row>
    <row r="160" spans="1:11" x14ac:dyDescent="0.25">
      <c r="A160">
        <v>159</v>
      </c>
      <c r="B160" t="s">
        <v>19</v>
      </c>
      <c r="C160" t="s">
        <v>12</v>
      </c>
      <c r="D160">
        <v>304</v>
      </c>
      <c r="E160">
        <v>6.5</v>
      </c>
      <c r="F160">
        <v>2375</v>
      </c>
      <c r="G160">
        <v>79</v>
      </c>
      <c r="H160">
        <v>1493</v>
      </c>
      <c r="I160">
        <v>51</v>
      </c>
      <c r="J160" t="s">
        <v>13</v>
      </c>
      <c r="K160">
        <v>4</v>
      </c>
    </row>
    <row r="161" spans="1:11" x14ac:dyDescent="0.25">
      <c r="A161">
        <v>160</v>
      </c>
      <c r="B161" t="s">
        <v>16</v>
      </c>
      <c r="C161" t="s">
        <v>12</v>
      </c>
      <c r="D161">
        <v>131</v>
      </c>
      <c r="E161">
        <v>2.4</v>
      </c>
      <c r="F161">
        <v>859</v>
      </c>
      <c r="G161">
        <v>26</v>
      </c>
      <c r="H161">
        <v>305</v>
      </c>
      <c r="I161">
        <v>40</v>
      </c>
      <c r="J161" t="s">
        <v>13</v>
      </c>
      <c r="K161">
        <v>2</v>
      </c>
    </row>
    <row r="162" spans="1:11" x14ac:dyDescent="0.25">
      <c r="A162">
        <v>161</v>
      </c>
      <c r="B162" t="s">
        <v>19</v>
      </c>
      <c r="C162" t="s">
        <v>12</v>
      </c>
      <c r="D162">
        <v>64</v>
      </c>
      <c r="E162">
        <v>1.6</v>
      </c>
      <c r="F162">
        <v>540</v>
      </c>
      <c r="G162">
        <v>19</v>
      </c>
      <c r="H162">
        <v>262</v>
      </c>
      <c r="I162">
        <v>35</v>
      </c>
      <c r="J162" t="s">
        <v>15</v>
      </c>
      <c r="K162">
        <v>1</v>
      </c>
    </row>
    <row r="163" spans="1:11" x14ac:dyDescent="0.25">
      <c r="A163">
        <v>162</v>
      </c>
      <c r="B163" t="s">
        <v>16</v>
      </c>
      <c r="C163" t="s">
        <v>12</v>
      </c>
      <c r="D163">
        <v>53</v>
      </c>
      <c r="E163">
        <v>1.9</v>
      </c>
      <c r="F163">
        <v>526</v>
      </c>
      <c r="G163">
        <v>15</v>
      </c>
      <c r="H163">
        <v>112</v>
      </c>
      <c r="I163">
        <v>42</v>
      </c>
      <c r="J163" t="s">
        <v>13</v>
      </c>
      <c r="K163">
        <v>1</v>
      </c>
    </row>
    <row r="164" spans="1:11" x14ac:dyDescent="0.25">
      <c r="A164">
        <v>163</v>
      </c>
      <c r="B164" t="s">
        <v>11</v>
      </c>
      <c r="C164" t="s">
        <v>12</v>
      </c>
      <c r="D164">
        <v>442</v>
      </c>
      <c r="E164">
        <v>7.7</v>
      </c>
      <c r="F164">
        <v>2067</v>
      </c>
      <c r="G164">
        <v>69</v>
      </c>
      <c r="H164">
        <v>1440</v>
      </c>
      <c r="I164">
        <v>45</v>
      </c>
      <c r="J164" t="s">
        <v>13</v>
      </c>
      <c r="K164">
        <v>4</v>
      </c>
    </row>
    <row r="165" spans="1:11" x14ac:dyDescent="0.25">
      <c r="A165">
        <v>164</v>
      </c>
      <c r="B165" t="s">
        <v>17</v>
      </c>
      <c r="C165" t="s">
        <v>18</v>
      </c>
      <c r="D165">
        <v>32</v>
      </c>
      <c r="E165">
        <v>2</v>
      </c>
      <c r="F165">
        <v>469</v>
      </c>
      <c r="G165">
        <v>18</v>
      </c>
      <c r="H165">
        <v>139</v>
      </c>
      <c r="I165">
        <v>22</v>
      </c>
      <c r="J165" t="s">
        <v>13</v>
      </c>
      <c r="K165">
        <v>1</v>
      </c>
    </row>
    <row r="166" spans="1:11" x14ac:dyDescent="0.25">
      <c r="A166">
        <v>165</v>
      </c>
      <c r="B166" t="s">
        <v>16</v>
      </c>
      <c r="C166" t="s">
        <v>12</v>
      </c>
      <c r="D166">
        <v>278</v>
      </c>
      <c r="E166">
        <v>4.8</v>
      </c>
      <c r="F166">
        <v>1238</v>
      </c>
      <c r="G166">
        <v>48</v>
      </c>
      <c r="H166">
        <v>851</v>
      </c>
      <c r="I166">
        <v>43</v>
      </c>
      <c r="J166" t="s">
        <v>15</v>
      </c>
      <c r="K166">
        <v>3</v>
      </c>
    </row>
    <row r="167" spans="1:11" x14ac:dyDescent="0.25">
      <c r="A167">
        <v>166</v>
      </c>
      <c r="B167" t="s">
        <v>16</v>
      </c>
      <c r="C167" t="s">
        <v>12</v>
      </c>
      <c r="D167">
        <v>540</v>
      </c>
      <c r="E167">
        <v>8.4</v>
      </c>
      <c r="F167">
        <v>2993</v>
      </c>
      <c r="G167">
        <v>98</v>
      </c>
      <c r="H167">
        <v>1540</v>
      </c>
      <c r="I167">
        <v>49</v>
      </c>
      <c r="J167" t="s">
        <v>15</v>
      </c>
      <c r="K167">
        <v>5</v>
      </c>
    </row>
    <row r="168" spans="1:11" x14ac:dyDescent="0.25">
      <c r="A168">
        <v>167</v>
      </c>
      <c r="B168" t="s">
        <v>11</v>
      </c>
      <c r="C168" t="s">
        <v>12</v>
      </c>
      <c r="D168">
        <v>595</v>
      </c>
      <c r="E168">
        <v>11.3</v>
      </c>
      <c r="F168">
        <v>2968</v>
      </c>
      <c r="G168">
        <v>88</v>
      </c>
      <c r="H168">
        <v>2366</v>
      </c>
      <c r="I168">
        <v>30</v>
      </c>
      <c r="J168" t="s">
        <v>13</v>
      </c>
      <c r="K168">
        <v>5</v>
      </c>
    </row>
    <row r="169" spans="1:11" x14ac:dyDescent="0.25">
      <c r="A169">
        <v>168</v>
      </c>
      <c r="B169" t="s">
        <v>11</v>
      </c>
      <c r="C169" t="s">
        <v>12</v>
      </c>
      <c r="D169">
        <v>35</v>
      </c>
      <c r="E169">
        <v>1.5</v>
      </c>
      <c r="F169">
        <v>467</v>
      </c>
      <c r="G169">
        <v>10</v>
      </c>
      <c r="H169">
        <v>158</v>
      </c>
      <c r="I169">
        <v>58</v>
      </c>
      <c r="J169" t="s">
        <v>13</v>
      </c>
      <c r="K169">
        <v>1</v>
      </c>
    </row>
    <row r="170" spans="1:11" x14ac:dyDescent="0.25">
      <c r="A170">
        <v>169</v>
      </c>
      <c r="B170" t="s">
        <v>11</v>
      </c>
      <c r="C170" t="s">
        <v>12</v>
      </c>
      <c r="D170">
        <v>225</v>
      </c>
      <c r="E170">
        <v>5.4</v>
      </c>
      <c r="F170">
        <v>1370</v>
      </c>
      <c r="G170">
        <v>44</v>
      </c>
      <c r="H170">
        <v>791</v>
      </c>
      <c r="I170">
        <v>55</v>
      </c>
      <c r="J170" t="s">
        <v>15</v>
      </c>
      <c r="K170">
        <v>3</v>
      </c>
    </row>
    <row r="171" spans="1:11" x14ac:dyDescent="0.25">
      <c r="A171">
        <v>170</v>
      </c>
      <c r="B171" t="s">
        <v>11</v>
      </c>
      <c r="C171" t="s">
        <v>12</v>
      </c>
      <c r="D171">
        <v>587</v>
      </c>
      <c r="E171">
        <v>11.8</v>
      </c>
      <c r="F171">
        <v>2431</v>
      </c>
      <c r="G171">
        <v>90</v>
      </c>
      <c r="H171">
        <v>1894</v>
      </c>
      <c r="I171">
        <v>47</v>
      </c>
      <c r="J171" t="s">
        <v>13</v>
      </c>
      <c r="K171">
        <v>5</v>
      </c>
    </row>
    <row r="172" spans="1:11" x14ac:dyDescent="0.25">
      <c r="A172">
        <v>171</v>
      </c>
      <c r="B172" t="s">
        <v>16</v>
      </c>
      <c r="C172" t="s">
        <v>12</v>
      </c>
      <c r="D172">
        <v>92</v>
      </c>
      <c r="E172">
        <v>3.7</v>
      </c>
      <c r="F172">
        <v>1124</v>
      </c>
      <c r="G172">
        <v>27</v>
      </c>
      <c r="H172">
        <v>524</v>
      </c>
      <c r="I172">
        <v>44</v>
      </c>
      <c r="J172" t="s">
        <v>13</v>
      </c>
      <c r="K172">
        <v>2</v>
      </c>
    </row>
    <row r="173" spans="1:11" x14ac:dyDescent="0.25">
      <c r="A173">
        <v>172</v>
      </c>
      <c r="B173" t="s">
        <v>11</v>
      </c>
      <c r="C173" t="s">
        <v>12</v>
      </c>
      <c r="D173">
        <v>46</v>
      </c>
      <c r="E173">
        <v>1.1000000000000001</v>
      </c>
      <c r="F173">
        <v>487</v>
      </c>
      <c r="G173">
        <v>17</v>
      </c>
      <c r="H173">
        <v>208</v>
      </c>
      <c r="I173">
        <v>23</v>
      </c>
      <c r="J173" t="s">
        <v>13</v>
      </c>
      <c r="K173">
        <v>1</v>
      </c>
    </row>
    <row r="174" spans="1:11" x14ac:dyDescent="0.25">
      <c r="A174">
        <v>173</v>
      </c>
      <c r="B174" t="s">
        <v>14</v>
      </c>
      <c r="C174" t="s">
        <v>12</v>
      </c>
      <c r="D174">
        <v>153</v>
      </c>
      <c r="E174">
        <v>2.8</v>
      </c>
      <c r="F174">
        <v>935</v>
      </c>
      <c r="G174">
        <v>25</v>
      </c>
      <c r="H174">
        <v>578</v>
      </c>
      <c r="I174">
        <v>37</v>
      </c>
      <c r="J174" t="s">
        <v>15</v>
      </c>
      <c r="K174">
        <v>2</v>
      </c>
    </row>
    <row r="175" spans="1:11" x14ac:dyDescent="0.25">
      <c r="A175">
        <v>174</v>
      </c>
      <c r="B175" t="s">
        <v>17</v>
      </c>
      <c r="C175" t="s">
        <v>18</v>
      </c>
      <c r="D175">
        <v>368</v>
      </c>
      <c r="E175">
        <v>6.6</v>
      </c>
      <c r="F175">
        <v>1817</v>
      </c>
      <c r="G175">
        <v>72</v>
      </c>
      <c r="H175">
        <v>1406</v>
      </c>
      <c r="I175">
        <v>27</v>
      </c>
      <c r="J175" t="s">
        <v>15</v>
      </c>
      <c r="K175">
        <v>4</v>
      </c>
    </row>
    <row r="176" spans="1:11" x14ac:dyDescent="0.25">
      <c r="A176">
        <v>175</v>
      </c>
      <c r="B176" t="s">
        <v>16</v>
      </c>
      <c r="C176" t="s">
        <v>12</v>
      </c>
      <c r="D176">
        <v>51</v>
      </c>
      <c r="E176">
        <v>1.6</v>
      </c>
      <c r="F176">
        <v>509</v>
      </c>
      <c r="G176">
        <v>11</v>
      </c>
      <c r="H176">
        <v>113</v>
      </c>
      <c r="I176">
        <v>29</v>
      </c>
      <c r="J176" t="s">
        <v>15</v>
      </c>
      <c r="K176">
        <v>1</v>
      </c>
    </row>
    <row r="177" spans="1:11" x14ac:dyDescent="0.25">
      <c r="A177">
        <v>176</v>
      </c>
      <c r="B177" t="s">
        <v>11</v>
      </c>
      <c r="C177" t="s">
        <v>12</v>
      </c>
      <c r="D177">
        <v>279</v>
      </c>
      <c r="E177">
        <v>5.2</v>
      </c>
      <c r="F177">
        <v>1660</v>
      </c>
      <c r="G177">
        <v>47</v>
      </c>
      <c r="H177">
        <v>629</v>
      </c>
      <c r="I177">
        <v>50</v>
      </c>
      <c r="J177" t="s">
        <v>15</v>
      </c>
      <c r="K177">
        <v>3</v>
      </c>
    </row>
    <row r="178" spans="1:11" x14ac:dyDescent="0.25">
      <c r="A178">
        <v>177</v>
      </c>
      <c r="B178" t="s">
        <v>16</v>
      </c>
      <c r="C178" t="s">
        <v>12</v>
      </c>
      <c r="D178">
        <v>255</v>
      </c>
      <c r="E178">
        <v>5.4</v>
      </c>
      <c r="F178">
        <v>1738</v>
      </c>
      <c r="G178">
        <v>42</v>
      </c>
      <c r="H178">
        <v>826</v>
      </c>
      <c r="I178">
        <v>21</v>
      </c>
      <c r="J178" t="s">
        <v>13</v>
      </c>
      <c r="K178">
        <v>3</v>
      </c>
    </row>
    <row r="179" spans="1:11" x14ac:dyDescent="0.25">
      <c r="A179">
        <v>178</v>
      </c>
      <c r="B179" t="s">
        <v>19</v>
      </c>
      <c r="C179" t="s">
        <v>12</v>
      </c>
      <c r="D179">
        <v>193</v>
      </c>
      <c r="E179">
        <v>5.7</v>
      </c>
      <c r="F179">
        <v>1471</v>
      </c>
      <c r="G179">
        <v>51</v>
      </c>
      <c r="H179">
        <v>972</v>
      </c>
      <c r="I179">
        <v>31</v>
      </c>
      <c r="J179" t="s">
        <v>15</v>
      </c>
      <c r="K179">
        <v>3</v>
      </c>
    </row>
    <row r="180" spans="1:11" x14ac:dyDescent="0.25">
      <c r="A180">
        <v>179</v>
      </c>
      <c r="B180" t="s">
        <v>16</v>
      </c>
      <c r="C180" t="s">
        <v>12</v>
      </c>
      <c r="D180">
        <v>207</v>
      </c>
      <c r="E180">
        <v>5.7</v>
      </c>
      <c r="F180">
        <v>1582</v>
      </c>
      <c r="G180">
        <v>52</v>
      </c>
      <c r="H180">
        <v>692</v>
      </c>
      <c r="I180">
        <v>38</v>
      </c>
      <c r="J180" t="s">
        <v>13</v>
      </c>
      <c r="K180">
        <v>3</v>
      </c>
    </row>
    <row r="181" spans="1:11" x14ac:dyDescent="0.25">
      <c r="A181">
        <v>180</v>
      </c>
      <c r="B181" t="s">
        <v>17</v>
      </c>
      <c r="C181" t="s">
        <v>18</v>
      </c>
      <c r="D181">
        <v>539</v>
      </c>
      <c r="E181">
        <v>11.9</v>
      </c>
      <c r="F181">
        <v>2853</v>
      </c>
      <c r="G181">
        <v>83</v>
      </c>
      <c r="H181">
        <v>2007</v>
      </c>
      <c r="I181">
        <v>55</v>
      </c>
      <c r="J181" t="s">
        <v>13</v>
      </c>
      <c r="K181">
        <v>5</v>
      </c>
    </row>
    <row r="182" spans="1:11" x14ac:dyDescent="0.25">
      <c r="A182">
        <v>181</v>
      </c>
      <c r="B182" t="s">
        <v>14</v>
      </c>
      <c r="C182" t="s">
        <v>12</v>
      </c>
      <c r="D182">
        <v>151</v>
      </c>
      <c r="E182">
        <v>2.4</v>
      </c>
      <c r="F182">
        <v>1124</v>
      </c>
      <c r="G182">
        <v>38</v>
      </c>
      <c r="H182">
        <v>571</v>
      </c>
      <c r="I182">
        <v>33</v>
      </c>
      <c r="J182" t="s">
        <v>13</v>
      </c>
      <c r="K182">
        <v>2</v>
      </c>
    </row>
    <row r="183" spans="1:11" x14ac:dyDescent="0.25">
      <c r="A183">
        <v>182</v>
      </c>
      <c r="B183" t="s">
        <v>11</v>
      </c>
      <c r="C183" t="s">
        <v>12</v>
      </c>
      <c r="D183">
        <v>474</v>
      </c>
      <c r="E183">
        <v>6.4</v>
      </c>
      <c r="F183">
        <v>2109</v>
      </c>
      <c r="G183">
        <v>68</v>
      </c>
      <c r="H183">
        <v>1079</v>
      </c>
      <c r="I183">
        <v>24</v>
      </c>
      <c r="J183" t="s">
        <v>13</v>
      </c>
      <c r="K183">
        <v>4</v>
      </c>
    </row>
    <row r="184" spans="1:11" x14ac:dyDescent="0.25">
      <c r="A184">
        <v>183</v>
      </c>
      <c r="B184" t="s">
        <v>17</v>
      </c>
      <c r="C184" t="s">
        <v>18</v>
      </c>
      <c r="D184">
        <v>544</v>
      </c>
      <c r="E184">
        <v>9.1999999999999993</v>
      </c>
      <c r="F184">
        <v>2936</v>
      </c>
      <c r="G184">
        <v>83</v>
      </c>
      <c r="H184">
        <v>2416</v>
      </c>
      <c r="I184">
        <v>47</v>
      </c>
      <c r="J184" t="s">
        <v>15</v>
      </c>
      <c r="K184">
        <v>5</v>
      </c>
    </row>
    <row r="185" spans="1:11" x14ac:dyDescent="0.25">
      <c r="A185">
        <v>184</v>
      </c>
      <c r="B185" t="s">
        <v>17</v>
      </c>
      <c r="C185" t="s">
        <v>18</v>
      </c>
      <c r="D185">
        <v>73</v>
      </c>
      <c r="E185">
        <v>1.2</v>
      </c>
      <c r="F185">
        <v>308</v>
      </c>
      <c r="G185">
        <v>15</v>
      </c>
      <c r="H185">
        <v>275</v>
      </c>
      <c r="I185">
        <v>39</v>
      </c>
      <c r="J185" t="s">
        <v>15</v>
      </c>
      <c r="K185">
        <v>1</v>
      </c>
    </row>
    <row r="186" spans="1:11" x14ac:dyDescent="0.25">
      <c r="A186">
        <v>185</v>
      </c>
      <c r="B186" t="s">
        <v>16</v>
      </c>
      <c r="C186" t="s">
        <v>12</v>
      </c>
      <c r="D186">
        <v>597</v>
      </c>
      <c r="E186">
        <v>10.4</v>
      </c>
      <c r="F186">
        <v>2984</v>
      </c>
      <c r="G186">
        <v>91</v>
      </c>
      <c r="H186">
        <v>1564</v>
      </c>
      <c r="I186">
        <v>34</v>
      </c>
      <c r="J186" t="s">
        <v>15</v>
      </c>
      <c r="K186">
        <v>5</v>
      </c>
    </row>
    <row r="187" spans="1:11" x14ac:dyDescent="0.25">
      <c r="A187">
        <v>186</v>
      </c>
      <c r="B187" t="s">
        <v>11</v>
      </c>
      <c r="C187" t="s">
        <v>12</v>
      </c>
      <c r="D187">
        <v>498</v>
      </c>
      <c r="E187">
        <v>10.7</v>
      </c>
      <c r="F187">
        <v>2738</v>
      </c>
      <c r="G187">
        <v>94</v>
      </c>
      <c r="H187">
        <v>1995</v>
      </c>
      <c r="I187">
        <v>42</v>
      </c>
      <c r="J187" t="s">
        <v>13</v>
      </c>
      <c r="K187">
        <v>5</v>
      </c>
    </row>
    <row r="188" spans="1:11" x14ac:dyDescent="0.25">
      <c r="A188">
        <v>187</v>
      </c>
      <c r="B188" t="s">
        <v>17</v>
      </c>
      <c r="C188" t="s">
        <v>18</v>
      </c>
      <c r="D188">
        <v>402</v>
      </c>
      <c r="E188">
        <v>7.8</v>
      </c>
      <c r="F188">
        <v>2014</v>
      </c>
      <c r="G188">
        <v>79</v>
      </c>
      <c r="H188">
        <v>1088</v>
      </c>
      <c r="I188">
        <v>34</v>
      </c>
      <c r="J188" t="s">
        <v>15</v>
      </c>
      <c r="K188">
        <v>4</v>
      </c>
    </row>
    <row r="189" spans="1:11" x14ac:dyDescent="0.25">
      <c r="A189">
        <v>188</v>
      </c>
      <c r="B189" t="s">
        <v>14</v>
      </c>
      <c r="C189" t="s">
        <v>12</v>
      </c>
      <c r="D189">
        <v>75</v>
      </c>
      <c r="E189">
        <v>1.1000000000000001</v>
      </c>
      <c r="F189">
        <v>379</v>
      </c>
      <c r="G189">
        <v>15</v>
      </c>
      <c r="H189">
        <v>185</v>
      </c>
      <c r="I189">
        <v>37</v>
      </c>
      <c r="J189" t="s">
        <v>13</v>
      </c>
      <c r="K189">
        <v>1</v>
      </c>
    </row>
    <row r="190" spans="1:11" x14ac:dyDescent="0.25">
      <c r="A190">
        <v>189</v>
      </c>
      <c r="B190" t="s">
        <v>17</v>
      </c>
      <c r="C190" t="s">
        <v>18</v>
      </c>
      <c r="D190">
        <v>130</v>
      </c>
      <c r="E190">
        <v>2</v>
      </c>
      <c r="F190">
        <v>602</v>
      </c>
      <c r="G190">
        <v>21</v>
      </c>
      <c r="H190">
        <v>589</v>
      </c>
      <c r="I190">
        <v>30</v>
      </c>
      <c r="J190" t="s">
        <v>15</v>
      </c>
      <c r="K190">
        <v>2</v>
      </c>
    </row>
    <row r="191" spans="1:11" x14ac:dyDescent="0.25">
      <c r="A191">
        <v>190</v>
      </c>
      <c r="B191" t="s">
        <v>19</v>
      </c>
      <c r="C191" t="s">
        <v>12</v>
      </c>
      <c r="D191">
        <v>42</v>
      </c>
      <c r="E191">
        <v>1.1000000000000001</v>
      </c>
      <c r="F191">
        <v>402</v>
      </c>
      <c r="G191">
        <v>11</v>
      </c>
      <c r="H191">
        <v>265</v>
      </c>
      <c r="I191">
        <v>32</v>
      </c>
      <c r="J191" t="s">
        <v>15</v>
      </c>
      <c r="K191">
        <v>1</v>
      </c>
    </row>
    <row r="192" spans="1:11" x14ac:dyDescent="0.25">
      <c r="A192">
        <v>191</v>
      </c>
      <c r="B192" t="s">
        <v>17</v>
      </c>
      <c r="C192" t="s">
        <v>18</v>
      </c>
      <c r="D192">
        <v>134</v>
      </c>
      <c r="E192">
        <v>2.2000000000000002</v>
      </c>
      <c r="F192">
        <v>917</v>
      </c>
      <c r="G192">
        <v>23</v>
      </c>
      <c r="H192">
        <v>423</v>
      </c>
      <c r="I192">
        <v>23</v>
      </c>
      <c r="J192" t="s">
        <v>13</v>
      </c>
      <c r="K192">
        <v>2</v>
      </c>
    </row>
    <row r="193" spans="1:11" x14ac:dyDescent="0.25">
      <c r="A193">
        <v>192</v>
      </c>
      <c r="B193" t="s">
        <v>11</v>
      </c>
      <c r="C193" t="s">
        <v>12</v>
      </c>
      <c r="D193">
        <v>79</v>
      </c>
      <c r="E193">
        <v>1.9</v>
      </c>
      <c r="F193">
        <v>477</v>
      </c>
      <c r="G193">
        <v>13</v>
      </c>
      <c r="H193">
        <v>161</v>
      </c>
      <c r="I193">
        <v>24</v>
      </c>
      <c r="J193" t="s">
        <v>13</v>
      </c>
      <c r="K193">
        <v>1</v>
      </c>
    </row>
    <row r="194" spans="1:11" x14ac:dyDescent="0.25">
      <c r="A194">
        <v>193</v>
      </c>
      <c r="B194" t="s">
        <v>17</v>
      </c>
      <c r="C194" t="s">
        <v>18</v>
      </c>
      <c r="D194">
        <v>432</v>
      </c>
      <c r="E194">
        <v>7.2</v>
      </c>
      <c r="F194">
        <v>1822</v>
      </c>
      <c r="G194">
        <v>63</v>
      </c>
      <c r="H194">
        <v>1127</v>
      </c>
      <c r="I194">
        <v>59</v>
      </c>
      <c r="J194" t="s">
        <v>15</v>
      </c>
      <c r="K194">
        <v>4</v>
      </c>
    </row>
    <row r="195" spans="1:11" x14ac:dyDescent="0.25">
      <c r="A195">
        <v>194</v>
      </c>
      <c r="B195" t="s">
        <v>17</v>
      </c>
      <c r="C195" t="s">
        <v>18</v>
      </c>
      <c r="D195">
        <v>262</v>
      </c>
      <c r="E195">
        <v>4.0999999999999996</v>
      </c>
      <c r="F195">
        <v>1287</v>
      </c>
      <c r="G195">
        <v>52</v>
      </c>
      <c r="H195">
        <v>997</v>
      </c>
      <c r="I195">
        <v>36</v>
      </c>
      <c r="J195" t="s">
        <v>13</v>
      </c>
      <c r="K195">
        <v>3</v>
      </c>
    </row>
    <row r="196" spans="1:11" x14ac:dyDescent="0.25">
      <c r="A196">
        <v>195</v>
      </c>
      <c r="B196" t="s">
        <v>19</v>
      </c>
      <c r="C196" t="s">
        <v>12</v>
      </c>
      <c r="D196">
        <v>473</v>
      </c>
      <c r="E196">
        <v>6.4</v>
      </c>
      <c r="F196">
        <v>2109</v>
      </c>
      <c r="G196">
        <v>79</v>
      </c>
      <c r="H196">
        <v>1300</v>
      </c>
      <c r="I196">
        <v>23</v>
      </c>
      <c r="J196" t="s">
        <v>15</v>
      </c>
      <c r="K196">
        <v>4</v>
      </c>
    </row>
    <row r="197" spans="1:11" x14ac:dyDescent="0.25">
      <c r="A197">
        <v>196</v>
      </c>
      <c r="B197" t="s">
        <v>11</v>
      </c>
      <c r="C197" t="s">
        <v>12</v>
      </c>
      <c r="D197">
        <v>202</v>
      </c>
      <c r="E197">
        <v>4.7</v>
      </c>
      <c r="F197">
        <v>1512</v>
      </c>
      <c r="G197">
        <v>49</v>
      </c>
      <c r="H197">
        <v>659</v>
      </c>
      <c r="I197">
        <v>45</v>
      </c>
      <c r="J197" t="s">
        <v>15</v>
      </c>
      <c r="K197">
        <v>3</v>
      </c>
    </row>
    <row r="198" spans="1:11" x14ac:dyDescent="0.25">
      <c r="A198">
        <v>197</v>
      </c>
      <c r="B198" t="s">
        <v>14</v>
      </c>
      <c r="C198" t="s">
        <v>12</v>
      </c>
      <c r="D198">
        <v>215</v>
      </c>
      <c r="E198">
        <v>4.4000000000000004</v>
      </c>
      <c r="F198">
        <v>1407</v>
      </c>
      <c r="G198">
        <v>41</v>
      </c>
      <c r="H198">
        <v>991</v>
      </c>
      <c r="I198">
        <v>47</v>
      </c>
      <c r="J198" t="s">
        <v>13</v>
      </c>
      <c r="K198">
        <v>3</v>
      </c>
    </row>
    <row r="199" spans="1:11" x14ac:dyDescent="0.25">
      <c r="A199">
        <v>198</v>
      </c>
      <c r="B199" t="s">
        <v>14</v>
      </c>
      <c r="C199" t="s">
        <v>12</v>
      </c>
      <c r="D199">
        <v>151</v>
      </c>
      <c r="E199">
        <v>3.7</v>
      </c>
      <c r="F199">
        <v>1116</v>
      </c>
      <c r="G199">
        <v>32</v>
      </c>
      <c r="H199">
        <v>320</v>
      </c>
      <c r="I199">
        <v>41</v>
      </c>
      <c r="J199" t="s">
        <v>15</v>
      </c>
      <c r="K199">
        <v>2</v>
      </c>
    </row>
    <row r="200" spans="1:11" x14ac:dyDescent="0.25">
      <c r="A200">
        <v>199</v>
      </c>
      <c r="B200" t="s">
        <v>14</v>
      </c>
      <c r="C200" t="s">
        <v>12</v>
      </c>
      <c r="D200">
        <v>80</v>
      </c>
      <c r="E200">
        <v>1.6</v>
      </c>
      <c r="F200">
        <v>549</v>
      </c>
      <c r="G200">
        <v>14</v>
      </c>
      <c r="H200">
        <v>197</v>
      </c>
      <c r="I200">
        <v>19</v>
      </c>
      <c r="J200" t="s">
        <v>13</v>
      </c>
      <c r="K200">
        <v>1</v>
      </c>
    </row>
    <row r="201" spans="1:11" x14ac:dyDescent="0.25">
      <c r="A201">
        <v>200</v>
      </c>
      <c r="B201" t="s">
        <v>16</v>
      </c>
      <c r="C201" t="s">
        <v>12</v>
      </c>
      <c r="D201">
        <v>126</v>
      </c>
      <c r="E201">
        <v>2.8</v>
      </c>
      <c r="F201">
        <v>971</v>
      </c>
      <c r="G201">
        <v>32</v>
      </c>
      <c r="H201">
        <v>431</v>
      </c>
      <c r="I201">
        <v>35</v>
      </c>
      <c r="J201" t="s">
        <v>15</v>
      </c>
      <c r="K201">
        <v>2</v>
      </c>
    </row>
    <row r="202" spans="1:11" x14ac:dyDescent="0.25">
      <c r="A202">
        <v>201</v>
      </c>
      <c r="B202" t="s">
        <v>19</v>
      </c>
      <c r="C202" t="s">
        <v>12</v>
      </c>
      <c r="D202">
        <v>495</v>
      </c>
      <c r="E202">
        <v>8.9</v>
      </c>
      <c r="F202">
        <v>2920</v>
      </c>
      <c r="G202">
        <v>84</v>
      </c>
      <c r="H202">
        <v>2252</v>
      </c>
      <c r="I202">
        <v>31</v>
      </c>
      <c r="J202" t="s">
        <v>15</v>
      </c>
      <c r="K202">
        <v>5</v>
      </c>
    </row>
    <row r="203" spans="1:11" x14ac:dyDescent="0.25">
      <c r="A203">
        <v>202</v>
      </c>
      <c r="B203" t="s">
        <v>17</v>
      </c>
      <c r="C203" t="s">
        <v>18</v>
      </c>
      <c r="D203">
        <v>127</v>
      </c>
      <c r="E203">
        <v>3.7</v>
      </c>
      <c r="F203">
        <v>1153</v>
      </c>
      <c r="G203">
        <v>35</v>
      </c>
      <c r="H203">
        <v>314</v>
      </c>
      <c r="I203">
        <v>37</v>
      </c>
      <c r="J203" t="s">
        <v>15</v>
      </c>
      <c r="K203">
        <v>2</v>
      </c>
    </row>
    <row r="204" spans="1:11" x14ac:dyDescent="0.25">
      <c r="A204">
        <v>203</v>
      </c>
      <c r="B204" t="s">
        <v>16</v>
      </c>
      <c r="C204" t="s">
        <v>12</v>
      </c>
      <c r="D204">
        <v>88</v>
      </c>
      <c r="E204">
        <v>1.3</v>
      </c>
      <c r="F204">
        <v>327</v>
      </c>
      <c r="G204">
        <v>11</v>
      </c>
      <c r="H204">
        <v>262</v>
      </c>
      <c r="I204">
        <v>22</v>
      </c>
      <c r="J204" t="s">
        <v>13</v>
      </c>
      <c r="K204">
        <v>1</v>
      </c>
    </row>
    <row r="205" spans="1:11" x14ac:dyDescent="0.25">
      <c r="A205">
        <v>204</v>
      </c>
      <c r="B205" t="s">
        <v>11</v>
      </c>
      <c r="C205" t="s">
        <v>12</v>
      </c>
      <c r="D205">
        <v>69</v>
      </c>
      <c r="E205">
        <v>1.6</v>
      </c>
      <c r="F205">
        <v>463</v>
      </c>
      <c r="G205">
        <v>16</v>
      </c>
      <c r="H205">
        <v>146</v>
      </c>
      <c r="I205">
        <v>27</v>
      </c>
      <c r="J205" t="s">
        <v>13</v>
      </c>
      <c r="K205">
        <v>1</v>
      </c>
    </row>
    <row r="206" spans="1:11" x14ac:dyDescent="0.25">
      <c r="A206">
        <v>205</v>
      </c>
      <c r="B206" t="s">
        <v>14</v>
      </c>
      <c r="C206" t="s">
        <v>12</v>
      </c>
      <c r="D206">
        <v>100</v>
      </c>
      <c r="E206">
        <v>3.3</v>
      </c>
      <c r="F206">
        <v>961</v>
      </c>
      <c r="G206">
        <v>21</v>
      </c>
      <c r="H206">
        <v>433</v>
      </c>
      <c r="I206">
        <v>25</v>
      </c>
      <c r="J206" t="s">
        <v>13</v>
      </c>
      <c r="K206">
        <v>2</v>
      </c>
    </row>
    <row r="207" spans="1:11" x14ac:dyDescent="0.25">
      <c r="A207">
        <v>206</v>
      </c>
      <c r="B207" t="s">
        <v>16</v>
      </c>
      <c r="C207" t="s">
        <v>12</v>
      </c>
      <c r="D207">
        <v>301</v>
      </c>
      <c r="E207">
        <v>6.5</v>
      </c>
      <c r="F207">
        <v>2084</v>
      </c>
      <c r="G207">
        <v>71</v>
      </c>
      <c r="H207">
        <v>1421</v>
      </c>
      <c r="I207">
        <v>29</v>
      </c>
      <c r="J207" t="s">
        <v>13</v>
      </c>
      <c r="K207">
        <v>4</v>
      </c>
    </row>
    <row r="208" spans="1:11" x14ac:dyDescent="0.25">
      <c r="A208">
        <v>207</v>
      </c>
      <c r="B208" t="s">
        <v>11</v>
      </c>
      <c r="C208" t="s">
        <v>12</v>
      </c>
      <c r="D208">
        <v>78</v>
      </c>
      <c r="E208">
        <v>1.7</v>
      </c>
      <c r="F208">
        <v>455</v>
      </c>
      <c r="G208">
        <v>15</v>
      </c>
      <c r="H208">
        <v>207</v>
      </c>
      <c r="I208">
        <v>37</v>
      </c>
      <c r="J208" t="s">
        <v>15</v>
      </c>
      <c r="K208">
        <v>1</v>
      </c>
    </row>
    <row r="209" spans="1:11" x14ac:dyDescent="0.25">
      <c r="A209">
        <v>208</v>
      </c>
      <c r="B209" t="s">
        <v>11</v>
      </c>
      <c r="C209" t="s">
        <v>12</v>
      </c>
      <c r="D209">
        <v>163</v>
      </c>
      <c r="E209">
        <v>3.1</v>
      </c>
      <c r="F209">
        <v>620</v>
      </c>
      <c r="G209">
        <v>21</v>
      </c>
      <c r="H209">
        <v>419</v>
      </c>
      <c r="I209">
        <v>23</v>
      </c>
      <c r="J209" t="s">
        <v>13</v>
      </c>
      <c r="K209">
        <v>2</v>
      </c>
    </row>
    <row r="210" spans="1:11" x14ac:dyDescent="0.25">
      <c r="A210">
        <v>209</v>
      </c>
      <c r="B210" t="s">
        <v>14</v>
      </c>
      <c r="C210" t="s">
        <v>12</v>
      </c>
      <c r="D210">
        <v>539</v>
      </c>
      <c r="E210">
        <v>9.3000000000000007</v>
      </c>
      <c r="F210">
        <v>2606</v>
      </c>
      <c r="G210">
        <v>92</v>
      </c>
      <c r="H210">
        <v>1990</v>
      </c>
      <c r="I210">
        <v>41</v>
      </c>
      <c r="J210" t="s">
        <v>13</v>
      </c>
      <c r="K210">
        <v>5</v>
      </c>
    </row>
    <row r="211" spans="1:11" x14ac:dyDescent="0.25">
      <c r="A211">
        <v>210</v>
      </c>
      <c r="B211" t="s">
        <v>11</v>
      </c>
      <c r="C211" t="s">
        <v>12</v>
      </c>
      <c r="D211">
        <v>278</v>
      </c>
      <c r="E211">
        <v>4.5999999999999996</v>
      </c>
      <c r="F211">
        <v>1385</v>
      </c>
      <c r="G211">
        <v>47</v>
      </c>
      <c r="H211">
        <v>823</v>
      </c>
      <c r="I211">
        <v>40</v>
      </c>
      <c r="J211" t="s">
        <v>15</v>
      </c>
      <c r="K211">
        <v>3</v>
      </c>
    </row>
    <row r="212" spans="1:11" x14ac:dyDescent="0.25">
      <c r="A212">
        <v>211</v>
      </c>
      <c r="B212" t="s">
        <v>19</v>
      </c>
      <c r="C212" t="s">
        <v>12</v>
      </c>
      <c r="D212">
        <v>451</v>
      </c>
      <c r="E212">
        <v>6.1</v>
      </c>
      <c r="F212">
        <v>2108</v>
      </c>
      <c r="G212">
        <v>76</v>
      </c>
      <c r="H212">
        <v>1434</v>
      </c>
      <c r="I212">
        <v>25</v>
      </c>
      <c r="J212" t="s">
        <v>15</v>
      </c>
      <c r="K212">
        <v>4</v>
      </c>
    </row>
    <row r="213" spans="1:11" x14ac:dyDescent="0.25">
      <c r="A213">
        <v>212</v>
      </c>
      <c r="B213" t="s">
        <v>19</v>
      </c>
      <c r="C213" t="s">
        <v>12</v>
      </c>
      <c r="D213">
        <v>481</v>
      </c>
      <c r="E213">
        <v>10.9</v>
      </c>
      <c r="F213">
        <v>2752</v>
      </c>
      <c r="G213">
        <v>86</v>
      </c>
      <c r="H213">
        <v>2017</v>
      </c>
      <c r="I213">
        <v>18</v>
      </c>
      <c r="J213" t="s">
        <v>13</v>
      </c>
      <c r="K213">
        <v>5</v>
      </c>
    </row>
    <row r="214" spans="1:11" x14ac:dyDescent="0.25">
      <c r="A214">
        <v>213</v>
      </c>
      <c r="B214" t="s">
        <v>19</v>
      </c>
      <c r="C214" t="s">
        <v>12</v>
      </c>
      <c r="D214">
        <v>133</v>
      </c>
      <c r="E214">
        <v>3.4</v>
      </c>
      <c r="F214">
        <v>714</v>
      </c>
      <c r="G214">
        <v>38</v>
      </c>
      <c r="H214">
        <v>445</v>
      </c>
      <c r="I214">
        <v>25</v>
      </c>
      <c r="J214" t="s">
        <v>13</v>
      </c>
      <c r="K214">
        <v>2</v>
      </c>
    </row>
    <row r="215" spans="1:11" x14ac:dyDescent="0.25">
      <c r="A215">
        <v>214</v>
      </c>
      <c r="B215" t="s">
        <v>16</v>
      </c>
      <c r="C215" t="s">
        <v>12</v>
      </c>
      <c r="D215">
        <v>41</v>
      </c>
      <c r="E215">
        <v>1.1000000000000001</v>
      </c>
      <c r="F215">
        <v>588</v>
      </c>
      <c r="G215">
        <v>10</v>
      </c>
      <c r="H215">
        <v>246</v>
      </c>
      <c r="I215">
        <v>22</v>
      </c>
      <c r="J215" t="s">
        <v>13</v>
      </c>
      <c r="K215">
        <v>1</v>
      </c>
    </row>
    <row r="216" spans="1:11" x14ac:dyDescent="0.25">
      <c r="A216">
        <v>215</v>
      </c>
      <c r="B216" t="s">
        <v>17</v>
      </c>
      <c r="C216" t="s">
        <v>18</v>
      </c>
      <c r="D216">
        <v>152</v>
      </c>
      <c r="E216">
        <v>3.3</v>
      </c>
      <c r="F216">
        <v>1175</v>
      </c>
      <c r="G216">
        <v>29</v>
      </c>
      <c r="H216">
        <v>461</v>
      </c>
      <c r="I216">
        <v>42</v>
      </c>
      <c r="J216" t="s">
        <v>15</v>
      </c>
      <c r="K216">
        <v>2</v>
      </c>
    </row>
    <row r="217" spans="1:11" x14ac:dyDescent="0.25">
      <c r="A217">
        <v>216</v>
      </c>
      <c r="B217" t="s">
        <v>14</v>
      </c>
      <c r="C217" t="s">
        <v>12</v>
      </c>
      <c r="D217">
        <v>553</v>
      </c>
      <c r="E217">
        <v>8.4</v>
      </c>
      <c r="F217">
        <v>2559</v>
      </c>
      <c r="G217">
        <v>89</v>
      </c>
      <c r="H217">
        <v>2471</v>
      </c>
      <c r="I217">
        <v>51</v>
      </c>
      <c r="J217" t="s">
        <v>13</v>
      </c>
      <c r="K217">
        <v>5</v>
      </c>
    </row>
    <row r="218" spans="1:11" x14ac:dyDescent="0.25">
      <c r="A218">
        <v>217</v>
      </c>
      <c r="B218" t="s">
        <v>17</v>
      </c>
      <c r="C218" t="s">
        <v>18</v>
      </c>
      <c r="D218">
        <v>402</v>
      </c>
      <c r="E218">
        <v>6.9</v>
      </c>
      <c r="F218">
        <v>2282</v>
      </c>
      <c r="G218">
        <v>78</v>
      </c>
      <c r="H218">
        <v>1397</v>
      </c>
      <c r="I218">
        <v>40</v>
      </c>
      <c r="J218" t="s">
        <v>13</v>
      </c>
      <c r="K218">
        <v>4</v>
      </c>
    </row>
    <row r="219" spans="1:11" x14ac:dyDescent="0.25">
      <c r="A219">
        <v>218</v>
      </c>
      <c r="B219" t="s">
        <v>14</v>
      </c>
      <c r="C219" t="s">
        <v>12</v>
      </c>
      <c r="D219">
        <v>555</v>
      </c>
      <c r="E219">
        <v>9.5</v>
      </c>
      <c r="F219">
        <v>2855</v>
      </c>
      <c r="G219">
        <v>95</v>
      </c>
      <c r="H219">
        <v>1565</v>
      </c>
      <c r="I219">
        <v>24</v>
      </c>
      <c r="J219" t="s">
        <v>13</v>
      </c>
      <c r="K219">
        <v>5</v>
      </c>
    </row>
    <row r="220" spans="1:11" x14ac:dyDescent="0.25">
      <c r="A220">
        <v>219</v>
      </c>
      <c r="B220" t="s">
        <v>17</v>
      </c>
      <c r="C220" t="s">
        <v>18</v>
      </c>
      <c r="D220">
        <v>499</v>
      </c>
      <c r="E220">
        <v>9.6</v>
      </c>
      <c r="F220">
        <v>2873</v>
      </c>
      <c r="G220">
        <v>81</v>
      </c>
      <c r="H220">
        <v>1805</v>
      </c>
      <c r="I220">
        <v>52</v>
      </c>
      <c r="J220" t="s">
        <v>15</v>
      </c>
      <c r="K220">
        <v>5</v>
      </c>
    </row>
    <row r="221" spans="1:11" x14ac:dyDescent="0.25">
      <c r="A221">
        <v>220</v>
      </c>
      <c r="B221" t="s">
        <v>16</v>
      </c>
      <c r="C221" t="s">
        <v>12</v>
      </c>
      <c r="D221">
        <v>101</v>
      </c>
      <c r="E221">
        <v>3.2</v>
      </c>
      <c r="F221">
        <v>603</v>
      </c>
      <c r="G221">
        <v>28</v>
      </c>
      <c r="H221">
        <v>417</v>
      </c>
      <c r="I221">
        <v>43</v>
      </c>
      <c r="J221" t="s">
        <v>13</v>
      </c>
      <c r="K221">
        <v>2</v>
      </c>
    </row>
    <row r="222" spans="1:11" x14ac:dyDescent="0.25">
      <c r="A222">
        <v>221</v>
      </c>
      <c r="B222" t="s">
        <v>14</v>
      </c>
      <c r="C222" t="s">
        <v>12</v>
      </c>
      <c r="D222">
        <v>433</v>
      </c>
      <c r="E222">
        <v>6.8</v>
      </c>
      <c r="F222">
        <v>2093</v>
      </c>
      <c r="G222">
        <v>75</v>
      </c>
      <c r="H222">
        <v>1300</v>
      </c>
      <c r="I222">
        <v>32</v>
      </c>
      <c r="J222" t="s">
        <v>13</v>
      </c>
      <c r="K222">
        <v>4</v>
      </c>
    </row>
    <row r="223" spans="1:11" x14ac:dyDescent="0.25">
      <c r="A223">
        <v>222</v>
      </c>
      <c r="B223" t="s">
        <v>14</v>
      </c>
      <c r="C223" t="s">
        <v>12</v>
      </c>
      <c r="D223">
        <v>133</v>
      </c>
      <c r="E223">
        <v>2</v>
      </c>
      <c r="F223">
        <v>1007</v>
      </c>
      <c r="G223">
        <v>31</v>
      </c>
      <c r="H223">
        <v>417</v>
      </c>
      <c r="I223">
        <v>32</v>
      </c>
      <c r="J223" t="s">
        <v>13</v>
      </c>
      <c r="K223">
        <v>2</v>
      </c>
    </row>
    <row r="224" spans="1:11" x14ac:dyDescent="0.25">
      <c r="A224">
        <v>223</v>
      </c>
      <c r="B224" t="s">
        <v>16</v>
      </c>
      <c r="C224" t="s">
        <v>12</v>
      </c>
      <c r="D224">
        <v>351</v>
      </c>
      <c r="E224">
        <v>6.1</v>
      </c>
      <c r="F224">
        <v>1941</v>
      </c>
      <c r="G224">
        <v>79</v>
      </c>
      <c r="H224">
        <v>1290</v>
      </c>
      <c r="I224">
        <v>21</v>
      </c>
      <c r="J224" t="s">
        <v>15</v>
      </c>
      <c r="K224">
        <v>4</v>
      </c>
    </row>
    <row r="225" spans="1:11" x14ac:dyDescent="0.25">
      <c r="A225">
        <v>224</v>
      </c>
      <c r="B225" t="s">
        <v>19</v>
      </c>
      <c r="C225" t="s">
        <v>12</v>
      </c>
      <c r="D225">
        <v>532</v>
      </c>
      <c r="E225">
        <v>10.7</v>
      </c>
      <c r="F225">
        <v>2556</v>
      </c>
      <c r="G225">
        <v>83</v>
      </c>
      <c r="H225">
        <v>2148</v>
      </c>
      <c r="I225">
        <v>53</v>
      </c>
      <c r="J225" t="s">
        <v>15</v>
      </c>
      <c r="K225">
        <v>5</v>
      </c>
    </row>
    <row r="226" spans="1:11" x14ac:dyDescent="0.25">
      <c r="A226">
        <v>225</v>
      </c>
      <c r="B226" t="s">
        <v>14</v>
      </c>
      <c r="C226" t="s">
        <v>12</v>
      </c>
      <c r="D226">
        <v>92</v>
      </c>
      <c r="E226">
        <v>2.5</v>
      </c>
      <c r="F226">
        <v>690</v>
      </c>
      <c r="G226">
        <v>31</v>
      </c>
      <c r="H226">
        <v>563</v>
      </c>
      <c r="I226">
        <v>27</v>
      </c>
      <c r="J226" t="s">
        <v>13</v>
      </c>
      <c r="K226">
        <v>2</v>
      </c>
    </row>
    <row r="227" spans="1:11" x14ac:dyDescent="0.25">
      <c r="A227">
        <v>226</v>
      </c>
      <c r="B227" t="s">
        <v>16</v>
      </c>
      <c r="C227" t="s">
        <v>12</v>
      </c>
      <c r="D227">
        <v>511</v>
      </c>
      <c r="E227">
        <v>10.8</v>
      </c>
      <c r="F227">
        <v>2712</v>
      </c>
      <c r="G227">
        <v>97</v>
      </c>
      <c r="H227">
        <v>2438</v>
      </c>
      <c r="I227">
        <v>59</v>
      </c>
      <c r="J227" t="s">
        <v>15</v>
      </c>
      <c r="K227">
        <v>5</v>
      </c>
    </row>
    <row r="228" spans="1:11" x14ac:dyDescent="0.25">
      <c r="A228">
        <v>227</v>
      </c>
      <c r="B228" t="s">
        <v>16</v>
      </c>
      <c r="C228" t="s">
        <v>12</v>
      </c>
      <c r="D228">
        <v>384</v>
      </c>
      <c r="E228">
        <v>7</v>
      </c>
      <c r="F228">
        <v>2185</v>
      </c>
      <c r="G228">
        <v>72</v>
      </c>
      <c r="H228">
        <v>1376</v>
      </c>
      <c r="I228">
        <v>59</v>
      </c>
      <c r="J228" t="s">
        <v>13</v>
      </c>
      <c r="K228">
        <v>4</v>
      </c>
    </row>
    <row r="229" spans="1:11" x14ac:dyDescent="0.25">
      <c r="A229">
        <v>228</v>
      </c>
      <c r="B229" t="s">
        <v>17</v>
      </c>
      <c r="C229" t="s">
        <v>18</v>
      </c>
      <c r="D229">
        <v>193</v>
      </c>
      <c r="E229">
        <v>5.2</v>
      </c>
      <c r="F229">
        <v>1318</v>
      </c>
      <c r="G229">
        <v>49</v>
      </c>
      <c r="H229">
        <v>626</v>
      </c>
      <c r="I229">
        <v>32</v>
      </c>
      <c r="J229" t="s">
        <v>15</v>
      </c>
      <c r="K229">
        <v>3</v>
      </c>
    </row>
    <row r="230" spans="1:11" x14ac:dyDescent="0.25">
      <c r="A230">
        <v>229</v>
      </c>
      <c r="B230" t="s">
        <v>19</v>
      </c>
      <c r="C230" t="s">
        <v>12</v>
      </c>
      <c r="D230">
        <v>132</v>
      </c>
      <c r="E230">
        <v>3.8</v>
      </c>
      <c r="F230">
        <v>649</v>
      </c>
      <c r="G230">
        <v>25</v>
      </c>
      <c r="H230">
        <v>368</v>
      </c>
      <c r="I230">
        <v>41</v>
      </c>
      <c r="J230" t="s">
        <v>13</v>
      </c>
      <c r="K230">
        <v>2</v>
      </c>
    </row>
    <row r="231" spans="1:11" x14ac:dyDescent="0.25">
      <c r="A231">
        <v>230</v>
      </c>
      <c r="B231" t="s">
        <v>19</v>
      </c>
      <c r="C231" t="s">
        <v>12</v>
      </c>
      <c r="D231">
        <v>360</v>
      </c>
      <c r="E231">
        <v>7.3</v>
      </c>
      <c r="F231">
        <v>1946</v>
      </c>
      <c r="G231">
        <v>79</v>
      </c>
      <c r="H231">
        <v>1164</v>
      </c>
      <c r="I231">
        <v>50</v>
      </c>
      <c r="J231" t="s">
        <v>13</v>
      </c>
      <c r="K231">
        <v>4</v>
      </c>
    </row>
    <row r="232" spans="1:11" x14ac:dyDescent="0.25">
      <c r="A232">
        <v>231</v>
      </c>
      <c r="B232" t="s">
        <v>17</v>
      </c>
      <c r="C232" t="s">
        <v>18</v>
      </c>
      <c r="D232">
        <v>159</v>
      </c>
      <c r="E232">
        <v>2.2999999999999998</v>
      </c>
      <c r="F232">
        <v>1083</v>
      </c>
      <c r="G232">
        <v>32</v>
      </c>
      <c r="H232">
        <v>526</v>
      </c>
      <c r="I232">
        <v>38</v>
      </c>
      <c r="J232" t="s">
        <v>13</v>
      </c>
      <c r="K232">
        <v>2</v>
      </c>
    </row>
    <row r="233" spans="1:11" x14ac:dyDescent="0.25">
      <c r="A233">
        <v>232</v>
      </c>
      <c r="B233" t="s">
        <v>17</v>
      </c>
      <c r="C233" t="s">
        <v>18</v>
      </c>
      <c r="D233">
        <v>495</v>
      </c>
      <c r="E233">
        <v>8.9</v>
      </c>
      <c r="F233">
        <v>2855</v>
      </c>
      <c r="G233">
        <v>91</v>
      </c>
      <c r="H233">
        <v>2150</v>
      </c>
      <c r="I233">
        <v>31</v>
      </c>
      <c r="J233" t="s">
        <v>13</v>
      </c>
      <c r="K233">
        <v>5</v>
      </c>
    </row>
    <row r="234" spans="1:11" x14ac:dyDescent="0.25">
      <c r="A234">
        <v>233</v>
      </c>
      <c r="B234" t="s">
        <v>16</v>
      </c>
      <c r="C234" t="s">
        <v>12</v>
      </c>
      <c r="D234">
        <v>537</v>
      </c>
      <c r="E234">
        <v>10</v>
      </c>
      <c r="F234">
        <v>2720</v>
      </c>
      <c r="G234">
        <v>83</v>
      </c>
      <c r="H234">
        <v>1763</v>
      </c>
      <c r="I234">
        <v>35</v>
      </c>
      <c r="J234" t="s">
        <v>13</v>
      </c>
      <c r="K234">
        <v>5</v>
      </c>
    </row>
    <row r="235" spans="1:11" x14ac:dyDescent="0.25">
      <c r="A235">
        <v>234</v>
      </c>
      <c r="B235" t="s">
        <v>14</v>
      </c>
      <c r="C235" t="s">
        <v>12</v>
      </c>
      <c r="D235">
        <v>129</v>
      </c>
      <c r="E235">
        <v>3.4</v>
      </c>
      <c r="F235">
        <v>1059</v>
      </c>
      <c r="G235">
        <v>27</v>
      </c>
      <c r="H235">
        <v>580</v>
      </c>
      <c r="I235">
        <v>36</v>
      </c>
      <c r="J235" t="s">
        <v>15</v>
      </c>
      <c r="K235">
        <v>2</v>
      </c>
    </row>
    <row r="236" spans="1:11" x14ac:dyDescent="0.25">
      <c r="A236">
        <v>235</v>
      </c>
      <c r="B236" t="s">
        <v>17</v>
      </c>
      <c r="C236" t="s">
        <v>18</v>
      </c>
      <c r="D236">
        <v>132</v>
      </c>
      <c r="E236">
        <v>3.8</v>
      </c>
      <c r="F236">
        <v>636</v>
      </c>
      <c r="G236">
        <v>28</v>
      </c>
      <c r="H236">
        <v>529</v>
      </c>
      <c r="I236">
        <v>53</v>
      </c>
      <c r="J236" t="s">
        <v>13</v>
      </c>
      <c r="K236">
        <v>2</v>
      </c>
    </row>
    <row r="237" spans="1:11" x14ac:dyDescent="0.25">
      <c r="A237">
        <v>236</v>
      </c>
      <c r="B237" t="s">
        <v>16</v>
      </c>
      <c r="C237" t="s">
        <v>12</v>
      </c>
      <c r="D237">
        <v>37</v>
      </c>
      <c r="E237">
        <v>1.4</v>
      </c>
      <c r="F237">
        <v>369</v>
      </c>
      <c r="G237">
        <v>18</v>
      </c>
      <c r="H237">
        <v>295</v>
      </c>
      <c r="I237">
        <v>19</v>
      </c>
      <c r="J237" t="s">
        <v>15</v>
      </c>
      <c r="K237">
        <v>1</v>
      </c>
    </row>
    <row r="238" spans="1:11" x14ac:dyDescent="0.25">
      <c r="A238">
        <v>237</v>
      </c>
      <c r="B238" t="s">
        <v>19</v>
      </c>
      <c r="C238" t="s">
        <v>12</v>
      </c>
      <c r="D238">
        <v>524</v>
      </c>
      <c r="E238">
        <v>8.9</v>
      </c>
      <c r="F238">
        <v>2549</v>
      </c>
      <c r="G238">
        <v>88</v>
      </c>
      <c r="H238">
        <v>1730</v>
      </c>
      <c r="I238">
        <v>20</v>
      </c>
      <c r="J238" t="s">
        <v>15</v>
      </c>
      <c r="K238">
        <v>5</v>
      </c>
    </row>
    <row r="239" spans="1:11" x14ac:dyDescent="0.25">
      <c r="A239">
        <v>238</v>
      </c>
      <c r="B239" t="s">
        <v>14</v>
      </c>
      <c r="C239" t="s">
        <v>12</v>
      </c>
      <c r="D239">
        <v>425</v>
      </c>
      <c r="E239">
        <v>6.9</v>
      </c>
      <c r="F239">
        <v>2142</v>
      </c>
      <c r="G239">
        <v>66</v>
      </c>
      <c r="H239">
        <v>1130</v>
      </c>
      <c r="I239">
        <v>19</v>
      </c>
      <c r="J239" t="s">
        <v>15</v>
      </c>
      <c r="K239">
        <v>4</v>
      </c>
    </row>
    <row r="240" spans="1:11" x14ac:dyDescent="0.25">
      <c r="A240">
        <v>239</v>
      </c>
      <c r="B240" t="s">
        <v>14</v>
      </c>
      <c r="C240" t="s">
        <v>12</v>
      </c>
      <c r="D240">
        <v>64</v>
      </c>
      <c r="E240">
        <v>1.7</v>
      </c>
      <c r="F240">
        <v>585</v>
      </c>
      <c r="G240">
        <v>13</v>
      </c>
      <c r="H240">
        <v>107</v>
      </c>
      <c r="I240">
        <v>53</v>
      </c>
      <c r="J240" t="s">
        <v>13</v>
      </c>
      <c r="K240">
        <v>1</v>
      </c>
    </row>
    <row r="241" spans="1:11" x14ac:dyDescent="0.25">
      <c r="A241">
        <v>240</v>
      </c>
      <c r="B241" t="s">
        <v>17</v>
      </c>
      <c r="C241" t="s">
        <v>18</v>
      </c>
      <c r="D241">
        <v>573</v>
      </c>
      <c r="E241">
        <v>10.8</v>
      </c>
      <c r="F241">
        <v>2711</v>
      </c>
      <c r="G241">
        <v>96</v>
      </c>
      <c r="H241">
        <v>2118</v>
      </c>
      <c r="I241">
        <v>33</v>
      </c>
      <c r="J241" t="s">
        <v>15</v>
      </c>
      <c r="K241">
        <v>5</v>
      </c>
    </row>
    <row r="242" spans="1:11" x14ac:dyDescent="0.25">
      <c r="A242">
        <v>241</v>
      </c>
      <c r="B242" t="s">
        <v>11</v>
      </c>
      <c r="C242" t="s">
        <v>12</v>
      </c>
      <c r="D242">
        <v>45</v>
      </c>
      <c r="E242">
        <v>1.7</v>
      </c>
      <c r="F242">
        <v>302</v>
      </c>
      <c r="G242">
        <v>16</v>
      </c>
      <c r="H242">
        <v>191</v>
      </c>
      <c r="I242">
        <v>57</v>
      </c>
      <c r="J242" t="s">
        <v>15</v>
      </c>
      <c r="K242">
        <v>1</v>
      </c>
    </row>
    <row r="243" spans="1:11" x14ac:dyDescent="0.25">
      <c r="A243">
        <v>242</v>
      </c>
      <c r="B243" t="s">
        <v>16</v>
      </c>
      <c r="C243" t="s">
        <v>12</v>
      </c>
      <c r="D243">
        <v>564</v>
      </c>
      <c r="E243">
        <v>11.7</v>
      </c>
      <c r="F243">
        <v>2764</v>
      </c>
      <c r="G243">
        <v>81</v>
      </c>
      <c r="H243">
        <v>2133</v>
      </c>
      <c r="I243">
        <v>37</v>
      </c>
      <c r="J243" t="s">
        <v>15</v>
      </c>
      <c r="K243">
        <v>5</v>
      </c>
    </row>
    <row r="244" spans="1:11" x14ac:dyDescent="0.25">
      <c r="A244">
        <v>243</v>
      </c>
      <c r="B244" t="s">
        <v>14</v>
      </c>
      <c r="C244" t="s">
        <v>12</v>
      </c>
      <c r="D244">
        <v>162</v>
      </c>
      <c r="E244">
        <v>3.5</v>
      </c>
      <c r="F244">
        <v>761</v>
      </c>
      <c r="G244">
        <v>36</v>
      </c>
      <c r="H244">
        <v>338</v>
      </c>
      <c r="I244">
        <v>51</v>
      </c>
      <c r="J244" t="s">
        <v>13</v>
      </c>
      <c r="K244">
        <v>2</v>
      </c>
    </row>
    <row r="245" spans="1:11" x14ac:dyDescent="0.25">
      <c r="A245">
        <v>244</v>
      </c>
      <c r="B245" t="s">
        <v>19</v>
      </c>
      <c r="C245" t="s">
        <v>12</v>
      </c>
      <c r="D245">
        <v>451</v>
      </c>
      <c r="E245">
        <v>6.5</v>
      </c>
      <c r="F245">
        <v>2378</v>
      </c>
      <c r="G245">
        <v>69</v>
      </c>
      <c r="H245">
        <v>1341</v>
      </c>
      <c r="I245">
        <v>44</v>
      </c>
      <c r="J245" t="s">
        <v>13</v>
      </c>
      <c r="K245">
        <v>4</v>
      </c>
    </row>
    <row r="246" spans="1:11" x14ac:dyDescent="0.25">
      <c r="A246">
        <v>245</v>
      </c>
      <c r="B246" t="s">
        <v>14</v>
      </c>
      <c r="C246" t="s">
        <v>12</v>
      </c>
      <c r="D246">
        <v>30</v>
      </c>
      <c r="E246">
        <v>1.3</v>
      </c>
      <c r="F246">
        <v>479</v>
      </c>
      <c r="G246">
        <v>16</v>
      </c>
      <c r="H246">
        <v>253</v>
      </c>
      <c r="I246">
        <v>35</v>
      </c>
      <c r="J246" t="s">
        <v>13</v>
      </c>
      <c r="K246">
        <v>1</v>
      </c>
    </row>
    <row r="247" spans="1:11" x14ac:dyDescent="0.25">
      <c r="A247">
        <v>246</v>
      </c>
      <c r="B247" t="s">
        <v>19</v>
      </c>
      <c r="C247" t="s">
        <v>12</v>
      </c>
      <c r="D247">
        <v>202</v>
      </c>
      <c r="E247">
        <v>5</v>
      </c>
      <c r="F247">
        <v>1542</v>
      </c>
      <c r="G247">
        <v>45</v>
      </c>
      <c r="H247">
        <v>844</v>
      </c>
      <c r="I247">
        <v>29</v>
      </c>
      <c r="J247" t="s">
        <v>13</v>
      </c>
      <c r="K247">
        <v>3</v>
      </c>
    </row>
    <row r="248" spans="1:11" x14ac:dyDescent="0.25">
      <c r="A248">
        <v>247</v>
      </c>
      <c r="B248" t="s">
        <v>11</v>
      </c>
      <c r="C248" t="s">
        <v>12</v>
      </c>
      <c r="D248">
        <v>71</v>
      </c>
      <c r="E248">
        <v>1.5</v>
      </c>
      <c r="F248">
        <v>590</v>
      </c>
      <c r="G248">
        <v>17</v>
      </c>
      <c r="H248">
        <v>257</v>
      </c>
      <c r="I248">
        <v>33</v>
      </c>
      <c r="J248" t="s">
        <v>13</v>
      </c>
      <c r="K248">
        <v>1</v>
      </c>
    </row>
    <row r="249" spans="1:11" x14ac:dyDescent="0.25">
      <c r="A249">
        <v>248</v>
      </c>
      <c r="B249" t="s">
        <v>11</v>
      </c>
      <c r="C249" t="s">
        <v>12</v>
      </c>
      <c r="D249">
        <v>314</v>
      </c>
      <c r="E249">
        <v>6.2</v>
      </c>
      <c r="F249">
        <v>2205</v>
      </c>
      <c r="G249">
        <v>63</v>
      </c>
      <c r="H249">
        <v>1066</v>
      </c>
      <c r="I249">
        <v>19</v>
      </c>
      <c r="J249" t="s">
        <v>13</v>
      </c>
      <c r="K249">
        <v>4</v>
      </c>
    </row>
    <row r="250" spans="1:11" x14ac:dyDescent="0.25">
      <c r="A250">
        <v>249</v>
      </c>
      <c r="B250" t="s">
        <v>16</v>
      </c>
      <c r="C250" t="s">
        <v>12</v>
      </c>
      <c r="D250">
        <v>168</v>
      </c>
      <c r="E250">
        <v>4</v>
      </c>
      <c r="F250">
        <v>866</v>
      </c>
      <c r="G250">
        <v>22</v>
      </c>
      <c r="H250">
        <v>581</v>
      </c>
      <c r="I250">
        <v>50</v>
      </c>
      <c r="J250" t="s">
        <v>15</v>
      </c>
      <c r="K250">
        <v>2</v>
      </c>
    </row>
    <row r="251" spans="1:11" x14ac:dyDescent="0.25">
      <c r="A251">
        <v>250</v>
      </c>
      <c r="B251" t="s">
        <v>11</v>
      </c>
      <c r="C251" t="s">
        <v>12</v>
      </c>
      <c r="D251">
        <v>75</v>
      </c>
      <c r="E251">
        <v>1.9</v>
      </c>
      <c r="F251">
        <v>537</v>
      </c>
      <c r="G251">
        <v>13</v>
      </c>
      <c r="H251">
        <v>230</v>
      </c>
      <c r="I251">
        <v>58</v>
      </c>
      <c r="J251" t="s">
        <v>15</v>
      </c>
      <c r="K251">
        <v>1</v>
      </c>
    </row>
    <row r="252" spans="1:11" x14ac:dyDescent="0.25">
      <c r="A252">
        <v>251</v>
      </c>
      <c r="B252" t="s">
        <v>14</v>
      </c>
      <c r="C252" t="s">
        <v>12</v>
      </c>
      <c r="D252">
        <v>42</v>
      </c>
      <c r="E252">
        <v>1.4</v>
      </c>
      <c r="F252">
        <v>324</v>
      </c>
      <c r="G252">
        <v>13</v>
      </c>
      <c r="H252">
        <v>272</v>
      </c>
      <c r="I252">
        <v>29</v>
      </c>
      <c r="J252" t="s">
        <v>15</v>
      </c>
      <c r="K252">
        <v>1</v>
      </c>
    </row>
    <row r="253" spans="1:11" x14ac:dyDescent="0.25">
      <c r="A253">
        <v>252</v>
      </c>
      <c r="B253" t="s">
        <v>14</v>
      </c>
      <c r="C253" t="s">
        <v>12</v>
      </c>
      <c r="D253">
        <v>441</v>
      </c>
      <c r="E253">
        <v>7.9</v>
      </c>
      <c r="F253">
        <v>2332</v>
      </c>
      <c r="G253">
        <v>78</v>
      </c>
      <c r="H253">
        <v>1477</v>
      </c>
      <c r="I253">
        <v>23</v>
      </c>
      <c r="J253" t="s">
        <v>15</v>
      </c>
      <c r="K253">
        <v>4</v>
      </c>
    </row>
    <row r="254" spans="1:11" x14ac:dyDescent="0.25">
      <c r="A254">
        <v>253</v>
      </c>
      <c r="B254" t="s">
        <v>11</v>
      </c>
      <c r="C254" t="s">
        <v>12</v>
      </c>
      <c r="D254">
        <v>523</v>
      </c>
      <c r="E254">
        <v>10.5</v>
      </c>
      <c r="F254">
        <v>2460</v>
      </c>
      <c r="G254">
        <v>99</v>
      </c>
      <c r="H254">
        <v>1787</v>
      </c>
      <c r="I254">
        <v>22</v>
      </c>
      <c r="J254" t="s">
        <v>13</v>
      </c>
      <c r="K254">
        <v>5</v>
      </c>
    </row>
    <row r="255" spans="1:11" x14ac:dyDescent="0.25">
      <c r="A255">
        <v>254</v>
      </c>
      <c r="B255" t="s">
        <v>16</v>
      </c>
      <c r="C255" t="s">
        <v>12</v>
      </c>
      <c r="D255">
        <v>100</v>
      </c>
      <c r="E255">
        <v>2.4</v>
      </c>
      <c r="F255">
        <v>982</v>
      </c>
      <c r="G255">
        <v>31</v>
      </c>
      <c r="H255">
        <v>478</v>
      </c>
      <c r="I255">
        <v>48</v>
      </c>
      <c r="J255" t="s">
        <v>15</v>
      </c>
      <c r="K255">
        <v>2</v>
      </c>
    </row>
    <row r="256" spans="1:11" x14ac:dyDescent="0.25">
      <c r="A256">
        <v>255</v>
      </c>
      <c r="B256" t="s">
        <v>14</v>
      </c>
      <c r="C256" t="s">
        <v>12</v>
      </c>
      <c r="D256">
        <v>52</v>
      </c>
      <c r="E256">
        <v>1.2</v>
      </c>
      <c r="F256">
        <v>398</v>
      </c>
      <c r="G256">
        <v>14</v>
      </c>
      <c r="H256">
        <v>172</v>
      </c>
      <c r="I256">
        <v>24</v>
      </c>
      <c r="J256" t="s">
        <v>15</v>
      </c>
      <c r="K256">
        <v>1</v>
      </c>
    </row>
    <row r="257" spans="1:11" x14ac:dyDescent="0.25">
      <c r="A257">
        <v>256</v>
      </c>
      <c r="B257" t="s">
        <v>14</v>
      </c>
      <c r="C257" t="s">
        <v>12</v>
      </c>
      <c r="D257">
        <v>397</v>
      </c>
      <c r="E257">
        <v>7</v>
      </c>
      <c r="F257">
        <v>2352</v>
      </c>
      <c r="G257">
        <v>77</v>
      </c>
      <c r="H257">
        <v>1101</v>
      </c>
      <c r="I257">
        <v>46</v>
      </c>
      <c r="J257" t="s">
        <v>15</v>
      </c>
      <c r="K257">
        <v>4</v>
      </c>
    </row>
    <row r="258" spans="1:11" x14ac:dyDescent="0.25">
      <c r="A258">
        <v>257</v>
      </c>
      <c r="B258" t="s">
        <v>16</v>
      </c>
      <c r="C258" t="s">
        <v>12</v>
      </c>
      <c r="D258">
        <v>424</v>
      </c>
      <c r="E258">
        <v>7.7</v>
      </c>
      <c r="F258">
        <v>1863</v>
      </c>
      <c r="G258">
        <v>65</v>
      </c>
      <c r="H258">
        <v>1116</v>
      </c>
      <c r="I258">
        <v>52</v>
      </c>
      <c r="J258" t="s">
        <v>13</v>
      </c>
      <c r="K258">
        <v>4</v>
      </c>
    </row>
    <row r="259" spans="1:11" x14ac:dyDescent="0.25">
      <c r="A259">
        <v>258</v>
      </c>
      <c r="B259" t="s">
        <v>16</v>
      </c>
      <c r="C259" t="s">
        <v>12</v>
      </c>
      <c r="D259">
        <v>272</v>
      </c>
      <c r="E259">
        <v>5</v>
      </c>
      <c r="F259">
        <v>1655</v>
      </c>
      <c r="G259">
        <v>45</v>
      </c>
      <c r="H259">
        <v>686</v>
      </c>
      <c r="I259">
        <v>19</v>
      </c>
      <c r="J259" t="s">
        <v>15</v>
      </c>
      <c r="K259">
        <v>3</v>
      </c>
    </row>
    <row r="260" spans="1:11" x14ac:dyDescent="0.25">
      <c r="A260">
        <v>259</v>
      </c>
      <c r="B260" t="s">
        <v>16</v>
      </c>
      <c r="C260" t="s">
        <v>12</v>
      </c>
      <c r="D260">
        <v>201</v>
      </c>
      <c r="E260">
        <v>4</v>
      </c>
      <c r="F260">
        <v>1791</v>
      </c>
      <c r="G260">
        <v>50</v>
      </c>
      <c r="H260">
        <v>914</v>
      </c>
      <c r="I260">
        <v>18</v>
      </c>
      <c r="J260" t="s">
        <v>13</v>
      </c>
      <c r="K260">
        <v>3</v>
      </c>
    </row>
    <row r="261" spans="1:11" x14ac:dyDescent="0.25">
      <c r="A261">
        <v>260</v>
      </c>
      <c r="B261" t="s">
        <v>16</v>
      </c>
      <c r="C261" t="s">
        <v>12</v>
      </c>
      <c r="D261">
        <v>570</v>
      </c>
      <c r="E261">
        <v>9</v>
      </c>
      <c r="F261">
        <v>2613</v>
      </c>
      <c r="G261">
        <v>98</v>
      </c>
      <c r="H261">
        <v>2497</v>
      </c>
      <c r="I261">
        <v>49</v>
      </c>
      <c r="J261" t="s">
        <v>15</v>
      </c>
      <c r="K261">
        <v>5</v>
      </c>
    </row>
    <row r="262" spans="1:11" x14ac:dyDescent="0.25">
      <c r="A262">
        <v>261</v>
      </c>
      <c r="B262" t="s">
        <v>16</v>
      </c>
      <c r="C262" t="s">
        <v>12</v>
      </c>
      <c r="D262">
        <v>64</v>
      </c>
      <c r="E262">
        <v>1.3</v>
      </c>
      <c r="F262">
        <v>490</v>
      </c>
      <c r="G262">
        <v>14</v>
      </c>
      <c r="H262">
        <v>151</v>
      </c>
      <c r="I262">
        <v>43</v>
      </c>
      <c r="J262" t="s">
        <v>15</v>
      </c>
      <c r="K262">
        <v>1</v>
      </c>
    </row>
    <row r="263" spans="1:11" x14ac:dyDescent="0.25">
      <c r="A263">
        <v>262</v>
      </c>
      <c r="B263" t="s">
        <v>17</v>
      </c>
      <c r="C263" t="s">
        <v>18</v>
      </c>
      <c r="D263">
        <v>334</v>
      </c>
      <c r="E263">
        <v>6.6</v>
      </c>
      <c r="F263">
        <v>2394</v>
      </c>
      <c r="G263">
        <v>68</v>
      </c>
      <c r="H263">
        <v>1227</v>
      </c>
      <c r="I263">
        <v>46</v>
      </c>
      <c r="J263" t="s">
        <v>15</v>
      </c>
      <c r="K263">
        <v>4</v>
      </c>
    </row>
    <row r="264" spans="1:11" x14ac:dyDescent="0.25">
      <c r="A264">
        <v>263</v>
      </c>
      <c r="B264" t="s">
        <v>17</v>
      </c>
      <c r="C264" t="s">
        <v>18</v>
      </c>
      <c r="D264">
        <v>518</v>
      </c>
      <c r="E264">
        <v>9.6</v>
      </c>
      <c r="F264">
        <v>2954</v>
      </c>
      <c r="G264">
        <v>93</v>
      </c>
      <c r="H264">
        <v>2125</v>
      </c>
      <c r="I264">
        <v>34</v>
      </c>
      <c r="J264" t="s">
        <v>15</v>
      </c>
      <c r="K264">
        <v>5</v>
      </c>
    </row>
    <row r="265" spans="1:11" x14ac:dyDescent="0.25">
      <c r="A265">
        <v>264</v>
      </c>
      <c r="B265" t="s">
        <v>19</v>
      </c>
      <c r="C265" t="s">
        <v>12</v>
      </c>
      <c r="D265">
        <v>70</v>
      </c>
      <c r="E265">
        <v>1.7</v>
      </c>
      <c r="F265">
        <v>359</v>
      </c>
      <c r="G265">
        <v>10</v>
      </c>
      <c r="H265">
        <v>109</v>
      </c>
      <c r="I265">
        <v>57</v>
      </c>
      <c r="J265" t="s">
        <v>13</v>
      </c>
      <c r="K265">
        <v>1</v>
      </c>
    </row>
    <row r="266" spans="1:11" x14ac:dyDescent="0.25">
      <c r="A266">
        <v>265</v>
      </c>
      <c r="B266" t="s">
        <v>17</v>
      </c>
      <c r="C266" t="s">
        <v>18</v>
      </c>
      <c r="D266">
        <v>334</v>
      </c>
      <c r="E266">
        <v>6.8</v>
      </c>
      <c r="F266">
        <v>2000</v>
      </c>
      <c r="G266">
        <v>77</v>
      </c>
      <c r="H266">
        <v>1079</v>
      </c>
      <c r="I266">
        <v>40</v>
      </c>
      <c r="J266" t="s">
        <v>15</v>
      </c>
      <c r="K266">
        <v>4</v>
      </c>
    </row>
    <row r="267" spans="1:11" x14ac:dyDescent="0.25">
      <c r="A267">
        <v>266</v>
      </c>
      <c r="B267" t="s">
        <v>16</v>
      </c>
      <c r="C267" t="s">
        <v>12</v>
      </c>
      <c r="D267">
        <v>563</v>
      </c>
      <c r="E267">
        <v>8.4</v>
      </c>
      <c r="F267">
        <v>2849</v>
      </c>
      <c r="G267">
        <v>85</v>
      </c>
      <c r="H267">
        <v>1508</v>
      </c>
      <c r="I267">
        <v>25</v>
      </c>
      <c r="J267" t="s">
        <v>13</v>
      </c>
      <c r="K267">
        <v>5</v>
      </c>
    </row>
    <row r="268" spans="1:11" x14ac:dyDescent="0.25">
      <c r="A268">
        <v>267</v>
      </c>
      <c r="B268" t="s">
        <v>17</v>
      </c>
      <c r="C268" t="s">
        <v>18</v>
      </c>
      <c r="D268">
        <v>181</v>
      </c>
      <c r="E268">
        <v>4.0999999999999996</v>
      </c>
      <c r="F268">
        <v>1608</v>
      </c>
      <c r="G268">
        <v>43</v>
      </c>
      <c r="H268">
        <v>752</v>
      </c>
      <c r="I268">
        <v>22</v>
      </c>
      <c r="J268" t="s">
        <v>15</v>
      </c>
      <c r="K268">
        <v>3</v>
      </c>
    </row>
    <row r="269" spans="1:11" x14ac:dyDescent="0.25">
      <c r="A269">
        <v>268</v>
      </c>
      <c r="B269" t="s">
        <v>14</v>
      </c>
      <c r="C269" t="s">
        <v>12</v>
      </c>
      <c r="D269">
        <v>584</v>
      </c>
      <c r="E269">
        <v>9.4</v>
      </c>
      <c r="F269">
        <v>2766</v>
      </c>
      <c r="G269">
        <v>84</v>
      </c>
      <c r="H269">
        <v>2151</v>
      </c>
      <c r="I269">
        <v>32</v>
      </c>
      <c r="J269" t="s">
        <v>13</v>
      </c>
      <c r="K269">
        <v>5</v>
      </c>
    </row>
    <row r="270" spans="1:11" x14ac:dyDescent="0.25">
      <c r="A270">
        <v>269</v>
      </c>
      <c r="B270" t="s">
        <v>19</v>
      </c>
      <c r="C270" t="s">
        <v>12</v>
      </c>
      <c r="D270">
        <v>208</v>
      </c>
      <c r="E270">
        <v>4.7</v>
      </c>
      <c r="F270">
        <v>1642</v>
      </c>
      <c r="G270">
        <v>45</v>
      </c>
      <c r="H270">
        <v>861</v>
      </c>
      <c r="I270">
        <v>55</v>
      </c>
      <c r="J270" t="s">
        <v>13</v>
      </c>
      <c r="K270">
        <v>3</v>
      </c>
    </row>
    <row r="271" spans="1:11" x14ac:dyDescent="0.25">
      <c r="A271">
        <v>270</v>
      </c>
      <c r="B271" t="s">
        <v>19</v>
      </c>
      <c r="C271" t="s">
        <v>12</v>
      </c>
      <c r="D271">
        <v>381</v>
      </c>
      <c r="E271">
        <v>6.6</v>
      </c>
      <c r="F271">
        <v>2160</v>
      </c>
      <c r="G271">
        <v>69</v>
      </c>
      <c r="H271">
        <v>1450</v>
      </c>
      <c r="I271">
        <v>20</v>
      </c>
      <c r="J271" t="s">
        <v>13</v>
      </c>
      <c r="K271">
        <v>4</v>
      </c>
    </row>
    <row r="272" spans="1:11" x14ac:dyDescent="0.25">
      <c r="A272">
        <v>271</v>
      </c>
      <c r="B272" t="s">
        <v>16</v>
      </c>
      <c r="C272" t="s">
        <v>12</v>
      </c>
      <c r="D272">
        <v>426</v>
      </c>
      <c r="E272">
        <v>6.5</v>
      </c>
      <c r="F272">
        <v>1969</v>
      </c>
      <c r="G272">
        <v>78</v>
      </c>
      <c r="H272">
        <v>1266</v>
      </c>
      <c r="I272">
        <v>53</v>
      </c>
      <c r="J272" t="s">
        <v>15</v>
      </c>
      <c r="K272">
        <v>4</v>
      </c>
    </row>
    <row r="273" spans="1:11" x14ac:dyDescent="0.25">
      <c r="A273">
        <v>272</v>
      </c>
      <c r="B273" t="s">
        <v>14</v>
      </c>
      <c r="C273" t="s">
        <v>12</v>
      </c>
      <c r="D273">
        <v>284</v>
      </c>
      <c r="E273">
        <v>4.2</v>
      </c>
      <c r="F273">
        <v>1360</v>
      </c>
      <c r="G273">
        <v>56</v>
      </c>
      <c r="H273">
        <v>888</v>
      </c>
      <c r="I273">
        <v>51</v>
      </c>
      <c r="J273" t="s">
        <v>13</v>
      </c>
      <c r="K273">
        <v>3</v>
      </c>
    </row>
    <row r="274" spans="1:11" x14ac:dyDescent="0.25">
      <c r="A274">
        <v>273</v>
      </c>
      <c r="B274" t="s">
        <v>11</v>
      </c>
      <c r="C274" t="s">
        <v>12</v>
      </c>
      <c r="D274">
        <v>105</v>
      </c>
      <c r="E274">
        <v>2.2000000000000002</v>
      </c>
      <c r="F274">
        <v>1002</v>
      </c>
      <c r="G274">
        <v>29</v>
      </c>
      <c r="H274">
        <v>453</v>
      </c>
      <c r="I274">
        <v>31</v>
      </c>
      <c r="J274" t="s">
        <v>15</v>
      </c>
      <c r="K274">
        <v>2</v>
      </c>
    </row>
    <row r="275" spans="1:11" x14ac:dyDescent="0.25">
      <c r="A275">
        <v>274</v>
      </c>
      <c r="B275" t="s">
        <v>11</v>
      </c>
      <c r="C275" t="s">
        <v>12</v>
      </c>
      <c r="D275">
        <v>179</v>
      </c>
      <c r="E275">
        <v>2.2999999999999998</v>
      </c>
      <c r="F275">
        <v>1014</v>
      </c>
      <c r="G275">
        <v>32</v>
      </c>
      <c r="H275">
        <v>588</v>
      </c>
      <c r="I275">
        <v>38</v>
      </c>
      <c r="J275" t="s">
        <v>13</v>
      </c>
      <c r="K275">
        <v>2</v>
      </c>
    </row>
    <row r="276" spans="1:11" x14ac:dyDescent="0.25">
      <c r="A276">
        <v>275</v>
      </c>
      <c r="B276" t="s">
        <v>17</v>
      </c>
      <c r="C276" t="s">
        <v>18</v>
      </c>
      <c r="D276">
        <v>122</v>
      </c>
      <c r="E276">
        <v>2.6</v>
      </c>
      <c r="F276">
        <v>639</v>
      </c>
      <c r="G276">
        <v>37</v>
      </c>
      <c r="H276">
        <v>568</v>
      </c>
      <c r="I276">
        <v>35</v>
      </c>
      <c r="J276" t="s">
        <v>13</v>
      </c>
      <c r="K276">
        <v>2</v>
      </c>
    </row>
    <row r="277" spans="1:11" x14ac:dyDescent="0.25">
      <c r="A277">
        <v>276</v>
      </c>
      <c r="B277" t="s">
        <v>14</v>
      </c>
      <c r="C277" t="s">
        <v>12</v>
      </c>
      <c r="D277">
        <v>501</v>
      </c>
      <c r="E277">
        <v>11.9</v>
      </c>
      <c r="F277">
        <v>2702</v>
      </c>
      <c r="G277">
        <v>88</v>
      </c>
      <c r="H277">
        <v>1738</v>
      </c>
      <c r="I277">
        <v>49</v>
      </c>
      <c r="J277" t="s">
        <v>13</v>
      </c>
      <c r="K277">
        <v>5</v>
      </c>
    </row>
    <row r="278" spans="1:11" x14ac:dyDescent="0.25">
      <c r="A278">
        <v>277</v>
      </c>
      <c r="B278" t="s">
        <v>16</v>
      </c>
      <c r="C278" t="s">
        <v>12</v>
      </c>
      <c r="D278">
        <v>269</v>
      </c>
      <c r="E278">
        <v>5.9</v>
      </c>
      <c r="F278">
        <v>1666</v>
      </c>
      <c r="G278">
        <v>42</v>
      </c>
      <c r="H278">
        <v>629</v>
      </c>
      <c r="I278">
        <v>32</v>
      </c>
      <c r="J278" t="s">
        <v>15</v>
      </c>
      <c r="K278">
        <v>3</v>
      </c>
    </row>
    <row r="279" spans="1:11" x14ac:dyDescent="0.25">
      <c r="A279">
        <v>278</v>
      </c>
      <c r="B279" t="s">
        <v>11</v>
      </c>
      <c r="C279" t="s">
        <v>12</v>
      </c>
      <c r="D279">
        <v>230</v>
      </c>
      <c r="E279">
        <v>4.4000000000000004</v>
      </c>
      <c r="F279">
        <v>1607</v>
      </c>
      <c r="G279">
        <v>52</v>
      </c>
      <c r="H279">
        <v>878</v>
      </c>
      <c r="I279">
        <v>54</v>
      </c>
      <c r="J279" t="s">
        <v>13</v>
      </c>
      <c r="K279">
        <v>3</v>
      </c>
    </row>
    <row r="280" spans="1:11" x14ac:dyDescent="0.25">
      <c r="A280">
        <v>279</v>
      </c>
      <c r="B280" t="s">
        <v>16</v>
      </c>
      <c r="C280" t="s">
        <v>12</v>
      </c>
      <c r="D280">
        <v>85</v>
      </c>
      <c r="E280">
        <v>1.6</v>
      </c>
      <c r="F280">
        <v>417</v>
      </c>
      <c r="G280">
        <v>12</v>
      </c>
      <c r="H280">
        <v>122</v>
      </c>
      <c r="I280">
        <v>47</v>
      </c>
      <c r="J280" t="s">
        <v>13</v>
      </c>
      <c r="K280">
        <v>1</v>
      </c>
    </row>
    <row r="281" spans="1:11" x14ac:dyDescent="0.25">
      <c r="A281">
        <v>280</v>
      </c>
      <c r="B281" t="s">
        <v>19</v>
      </c>
      <c r="C281" t="s">
        <v>12</v>
      </c>
      <c r="D281">
        <v>411</v>
      </c>
      <c r="E281">
        <v>7.8</v>
      </c>
      <c r="F281">
        <v>2029</v>
      </c>
      <c r="G281">
        <v>75</v>
      </c>
      <c r="H281">
        <v>1136</v>
      </c>
      <c r="I281">
        <v>33</v>
      </c>
      <c r="J281" t="s">
        <v>15</v>
      </c>
      <c r="K281">
        <v>4</v>
      </c>
    </row>
    <row r="282" spans="1:11" x14ac:dyDescent="0.25">
      <c r="A282">
        <v>281</v>
      </c>
      <c r="B282" t="s">
        <v>19</v>
      </c>
      <c r="C282" t="s">
        <v>12</v>
      </c>
      <c r="D282">
        <v>73</v>
      </c>
      <c r="E282">
        <v>1.7</v>
      </c>
      <c r="F282">
        <v>403</v>
      </c>
      <c r="G282">
        <v>12</v>
      </c>
      <c r="H282">
        <v>163</v>
      </c>
      <c r="I282">
        <v>51</v>
      </c>
      <c r="J282" t="s">
        <v>13</v>
      </c>
      <c r="K282">
        <v>1</v>
      </c>
    </row>
    <row r="283" spans="1:11" x14ac:dyDescent="0.25">
      <c r="A283">
        <v>282</v>
      </c>
      <c r="B283" t="s">
        <v>16</v>
      </c>
      <c r="C283" t="s">
        <v>12</v>
      </c>
      <c r="D283">
        <v>39</v>
      </c>
      <c r="E283">
        <v>1.7</v>
      </c>
      <c r="F283">
        <v>530</v>
      </c>
      <c r="G283">
        <v>11</v>
      </c>
      <c r="H283">
        <v>268</v>
      </c>
      <c r="I283">
        <v>26</v>
      </c>
      <c r="J283" t="s">
        <v>15</v>
      </c>
      <c r="K283">
        <v>1</v>
      </c>
    </row>
    <row r="284" spans="1:11" x14ac:dyDescent="0.25">
      <c r="A284">
        <v>283</v>
      </c>
      <c r="B284" t="s">
        <v>17</v>
      </c>
      <c r="C284" t="s">
        <v>18</v>
      </c>
      <c r="D284">
        <v>386</v>
      </c>
      <c r="E284">
        <v>7.7</v>
      </c>
      <c r="F284">
        <v>2114</v>
      </c>
      <c r="G284">
        <v>72</v>
      </c>
      <c r="H284">
        <v>1209</v>
      </c>
      <c r="I284">
        <v>51</v>
      </c>
      <c r="J284" t="s">
        <v>13</v>
      </c>
      <c r="K284">
        <v>4</v>
      </c>
    </row>
    <row r="285" spans="1:11" x14ac:dyDescent="0.25">
      <c r="A285">
        <v>284</v>
      </c>
      <c r="B285" t="s">
        <v>11</v>
      </c>
      <c r="C285" t="s">
        <v>12</v>
      </c>
      <c r="D285">
        <v>49</v>
      </c>
      <c r="E285">
        <v>1.3</v>
      </c>
      <c r="F285">
        <v>542</v>
      </c>
      <c r="G285">
        <v>16</v>
      </c>
      <c r="H285">
        <v>169</v>
      </c>
      <c r="I285">
        <v>54</v>
      </c>
      <c r="J285" t="s">
        <v>15</v>
      </c>
      <c r="K285">
        <v>1</v>
      </c>
    </row>
    <row r="286" spans="1:11" x14ac:dyDescent="0.25">
      <c r="A286">
        <v>285</v>
      </c>
      <c r="B286" t="s">
        <v>11</v>
      </c>
      <c r="C286" t="s">
        <v>12</v>
      </c>
      <c r="D286">
        <v>411</v>
      </c>
      <c r="E286">
        <v>6.9</v>
      </c>
      <c r="F286">
        <v>1820</v>
      </c>
      <c r="G286">
        <v>70</v>
      </c>
      <c r="H286">
        <v>1024</v>
      </c>
      <c r="I286">
        <v>43</v>
      </c>
      <c r="J286" t="s">
        <v>13</v>
      </c>
      <c r="K286">
        <v>4</v>
      </c>
    </row>
    <row r="287" spans="1:11" x14ac:dyDescent="0.25">
      <c r="A287">
        <v>286</v>
      </c>
      <c r="B287" t="s">
        <v>14</v>
      </c>
      <c r="C287" t="s">
        <v>12</v>
      </c>
      <c r="D287">
        <v>534</v>
      </c>
      <c r="E287">
        <v>10.8</v>
      </c>
      <c r="F287">
        <v>2805</v>
      </c>
      <c r="G287">
        <v>90</v>
      </c>
      <c r="H287">
        <v>1538</v>
      </c>
      <c r="I287">
        <v>37</v>
      </c>
      <c r="J287" t="s">
        <v>13</v>
      </c>
      <c r="K287">
        <v>5</v>
      </c>
    </row>
    <row r="288" spans="1:11" x14ac:dyDescent="0.25">
      <c r="A288">
        <v>287</v>
      </c>
      <c r="B288" t="s">
        <v>19</v>
      </c>
      <c r="C288" t="s">
        <v>12</v>
      </c>
      <c r="D288">
        <v>314</v>
      </c>
      <c r="E288">
        <v>7.4</v>
      </c>
      <c r="F288">
        <v>2136</v>
      </c>
      <c r="G288">
        <v>64</v>
      </c>
      <c r="H288">
        <v>1376</v>
      </c>
      <c r="I288">
        <v>47</v>
      </c>
      <c r="J288" t="s">
        <v>15</v>
      </c>
      <c r="K288">
        <v>4</v>
      </c>
    </row>
    <row r="289" spans="1:11" x14ac:dyDescent="0.25">
      <c r="A289">
        <v>288</v>
      </c>
      <c r="B289" t="s">
        <v>16</v>
      </c>
      <c r="C289" t="s">
        <v>12</v>
      </c>
      <c r="D289">
        <v>211</v>
      </c>
      <c r="E289">
        <v>4</v>
      </c>
      <c r="F289">
        <v>1519</v>
      </c>
      <c r="G289">
        <v>54</v>
      </c>
      <c r="H289">
        <v>811</v>
      </c>
      <c r="I289">
        <v>29</v>
      </c>
      <c r="J289" t="s">
        <v>15</v>
      </c>
      <c r="K289">
        <v>3</v>
      </c>
    </row>
    <row r="290" spans="1:11" x14ac:dyDescent="0.25">
      <c r="A290">
        <v>289</v>
      </c>
      <c r="B290" t="s">
        <v>14</v>
      </c>
      <c r="C290" t="s">
        <v>12</v>
      </c>
      <c r="D290">
        <v>121</v>
      </c>
      <c r="E290">
        <v>3.7</v>
      </c>
      <c r="F290">
        <v>619</v>
      </c>
      <c r="G290">
        <v>36</v>
      </c>
      <c r="H290">
        <v>473</v>
      </c>
      <c r="I290">
        <v>47</v>
      </c>
      <c r="J290" t="s">
        <v>13</v>
      </c>
      <c r="K290">
        <v>2</v>
      </c>
    </row>
    <row r="291" spans="1:11" x14ac:dyDescent="0.25">
      <c r="A291">
        <v>290</v>
      </c>
      <c r="B291" t="s">
        <v>11</v>
      </c>
      <c r="C291" t="s">
        <v>12</v>
      </c>
      <c r="D291">
        <v>84</v>
      </c>
      <c r="E291">
        <v>1.2</v>
      </c>
      <c r="F291">
        <v>415</v>
      </c>
      <c r="G291">
        <v>10</v>
      </c>
      <c r="H291">
        <v>146</v>
      </c>
      <c r="I291">
        <v>50</v>
      </c>
      <c r="J291" t="s">
        <v>13</v>
      </c>
      <c r="K291">
        <v>1</v>
      </c>
    </row>
    <row r="292" spans="1:11" x14ac:dyDescent="0.25">
      <c r="A292">
        <v>291</v>
      </c>
      <c r="B292" t="s">
        <v>14</v>
      </c>
      <c r="C292" t="s">
        <v>12</v>
      </c>
      <c r="D292">
        <v>448</v>
      </c>
      <c r="E292">
        <v>7.6</v>
      </c>
      <c r="F292">
        <v>2199</v>
      </c>
      <c r="G292">
        <v>66</v>
      </c>
      <c r="H292">
        <v>1047</v>
      </c>
      <c r="I292">
        <v>28</v>
      </c>
      <c r="J292" t="s">
        <v>13</v>
      </c>
      <c r="K292">
        <v>4</v>
      </c>
    </row>
    <row r="293" spans="1:11" x14ac:dyDescent="0.25">
      <c r="A293">
        <v>292</v>
      </c>
      <c r="B293" t="s">
        <v>11</v>
      </c>
      <c r="C293" t="s">
        <v>12</v>
      </c>
      <c r="D293">
        <v>55</v>
      </c>
      <c r="E293">
        <v>1.6</v>
      </c>
      <c r="F293">
        <v>360</v>
      </c>
      <c r="G293">
        <v>19</v>
      </c>
      <c r="H293">
        <v>149</v>
      </c>
      <c r="I293">
        <v>30</v>
      </c>
      <c r="J293" t="s">
        <v>13</v>
      </c>
      <c r="K293">
        <v>1</v>
      </c>
    </row>
    <row r="294" spans="1:11" x14ac:dyDescent="0.25">
      <c r="A294">
        <v>293</v>
      </c>
      <c r="B294" t="s">
        <v>11</v>
      </c>
      <c r="C294" t="s">
        <v>12</v>
      </c>
      <c r="D294">
        <v>59</v>
      </c>
      <c r="E294">
        <v>1.8</v>
      </c>
      <c r="F294">
        <v>497</v>
      </c>
      <c r="G294">
        <v>10</v>
      </c>
      <c r="H294">
        <v>208</v>
      </c>
      <c r="I294">
        <v>36</v>
      </c>
      <c r="J294" t="s">
        <v>15</v>
      </c>
      <c r="K294">
        <v>1</v>
      </c>
    </row>
    <row r="295" spans="1:11" x14ac:dyDescent="0.25">
      <c r="A295">
        <v>294</v>
      </c>
      <c r="B295" t="s">
        <v>16</v>
      </c>
      <c r="C295" t="s">
        <v>12</v>
      </c>
      <c r="D295">
        <v>226</v>
      </c>
      <c r="E295">
        <v>4.5</v>
      </c>
      <c r="F295">
        <v>1781</v>
      </c>
      <c r="G295">
        <v>45</v>
      </c>
      <c r="H295">
        <v>649</v>
      </c>
      <c r="I295">
        <v>27</v>
      </c>
      <c r="J295" t="s">
        <v>15</v>
      </c>
      <c r="K295">
        <v>3</v>
      </c>
    </row>
    <row r="296" spans="1:11" x14ac:dyDescent="0.25">
      <c r="A296">
        <v>295</v>
      </c>
      <c r="B296" t="s">
        <v>19</v>
      </c>
      <c r="C296" t="s">
        <v>12</v>
      </c>
      <c r="D296">
        <v>580</v>
      </c>
      <c r="E296">
        <v>8.5</v>
      </c>
      <c r="F296">
        <v>2660</v>
      </c>
      <c r="G296">
        <v>87</v>
      </c>
      <c r="H296">
        <v>1795</v>
      </c>
      <c r="I296">
        <v>52</v>
      </c>
      <c r="J296" t="s">
        <v>13</v>
      </c>
      <c r="K296">
        <v>5</v>
      </c>
    </row>
    <row r="297" spans="1:11" x14ac:dyDescent="0.25">
      <c r="A297">
        <v>296</v>
      </c>
      <c r="B297" t="s">
        <v>14</v>
      </c>
      <c r="C297" t="s">
        <v>12</v>
      </c>
      <c r="D297">
        <v>65</v>
      </c>
      <c r="E297">
        <v>1.8</v>
      </c>
      <c r="F297">
        <v>481</v>
      </c>
      <c r="G297">
        <v>18</v>
      </c>
      <c r="H297">
        <v>130</v>
      </c>
      <c r="I297">
        <v>41</v>
      </c>
      <c r="J297" t="s">
        <v>13</v>
      </c>
      <c r="K297">
        <v>1</v>
      </c>
    </row>
    <row r="298" spans="1:11" x14ac:dyDescent="0.25">
      <c r="A298">
        <v>297</v>
      </c>
      <c r="B298" t="s">
        <v>14</v>
      </c>
      <c r="C298" t="s">
        <v>12</v>
      </c>
      <c r="D298">
        <v>458</v>
      </c>
      <c r="E298">
        <v>6.6</v>
      </c>
      <c r="F298">
        <v>2214</v>
      </c>
      <c r="G298">
        <v>67</v>
      </c>
      <c r="H298">
        <v>1163</v>
      </c>
      <c r="I298">
        <v>31</v>
      </c>
      <c r="J298" t="s">
        <v>15</v>
      </c>
      <c r="K298">
        <v>4</v>
      </c>
    </row>
    <row r="299" spans="1:11" x14ac:dyDescent="0.25">
      <c r="A299">
        <v>298</v>
      </c>
      <c r="B299" t="s">
        <v>17</v>
      </c>
      <c r="C299" t="s">
        <v>18</v>
      </c>
      <c r="D299">
        <v>170</v>
      </c>
      <c r="E299">
        <v>2.7</v>
      </c>
      <c r="F299">
        <v>805</v>
      </c>
      <c r="G299">
        <v>26</v>
      </c>
      <c r="H299">
        <v>344</v>
      </c>
      <c r="I299">
        <v>53</v>
      </c>
      <c r="J299" t="s">
        <v>15</v>
      </c>
      <c r="K299">
        <v>2</v>
      </c>
    </row>
    <row r="300" spans="1:11" x14ac:dyDescent="0.25">
      <c r="A300">
        <v>299</v>
      </c>
      <c r="B300" t="s">
        <v>17</v>
      </c>
      <c r="C300" t="s">
        <v>18</v>
      </c>
      <c r="D300">
        <v>264</v>
      </c>
      <c r="E300">
        <v>5.2</v>
      </c>
      <c r="F300">
        <v>1641</v>
      </c>
      <c r="G300">
        <v>44</v>
      </c>
      <c r="H300">
        <v>778</v>
      </c>
      <c r="I300">
        <v>44</v>
      </c>
      <c r="J300" t="s">
        <v>13</v>
      </c>
      <c r="K300">
        <v>3</v>
      </c>
    </row>
    <row r="301" spans="1:11" x14ac:dyDescent="0.25">
      <c r="A301">
        <v>300</v>
      </c>
      <c r="B301" t="s">
        <v>16</v>
      </c>
      <c r="C301" t="s">
        <v>12</v>
      </c>
      <c r="D301">
        <v>122</v>
      </c>
      <c r="E301">
        <v>3.3</v>
      </c>
      <c r="F301">
        <v>748</v>
      </c>
      <c r="G301">
        <v>35</v>
      </c>
      <c r="H301">
        <v>499</v>
      </c>
      <c r="I301">
        <v>59</v>
      </c>
      <c r="J301" t="s">
        <v>15</v>
      </c>
      <c r="K301">
        <v>2</v>
      </c>
    </row>
    <row r="302" spans="1:11" x14ac:dyDescent="0.25">
      <c r="A302">
        <v>301</v>
      </c>
      <c r="B302" t="s">
        <v>16</v>
      </c>
      <c r="C302" t="s">
        <v>12</v>
      </c>
      <c r="D302">
        <v>420</v>
      </c>
      <c r="E302">
        <v>6.5</v>
      </c>
      <c r="F302">
        <v>2113</v>
      </c>
      <c r="G302">
        <v>65</v>
      </c>
      <c r="H302">
        <v>1314</v>
      </c>
      <c r="I302">
        <v>35</v>
      </c>
      <c r="J302" t="s">
        <v>13</v>
      </c>
      <c r="K302">
        <v>4</v>
      </c>
    </row>
    <row r="303" spans="1:11" x14ac:dyDescent="0.25">
      <c r="A303">
        <v>302</v>
      </c>
      <c r="B303" t="s">
        <v>17</v>
      </c>
      <c r="C303" t="s">
        <v>18</v>
      </c>
      <c r="D303">
        <v>267</v>
      </c>
      <c r="E303">
        <v>4.4000000000000004</v>
      </c>
      <c r="F303">
        <v>1505</v>
      </c>
      <c r="G303">
        <v>59</v>
      </c>
      <c r="H303">
        <v>971</v>
      </c>
      <c r="I303">
        <v>38</v>
      </c>
      <c r="J303" t="s">
        <v>15</v>
      </c>
      <c r="K303">
        <v>3</v>
      </c>
    </row>
    <row r="304" spans="1:11" x14ac:dyDescent="0.25">
      <c r="A304">
        <v>303</v>
      </c>
      <c r="B304" t="s">
        <v>17</v>
      </c>
      <c r="C304" t="s">
        <v>18</v>
      </c>
      <c r="D304">
        <v>469</v>
      </c>
      <c r="E304">
        <v>6</v>
      </c>
      <c r="F304">
        <v>2290</v>
      </c>
      <c r="G304">
        <v>67</v>
      </c>
      <c r="H304">
        <v>1086</v>
      </c>
      <c r="I304">
        <v>34</v>
      </c>
      <c r="J304" t="s">
        <v>15</v>
      </c>
      <c r="K304">
        <v>4</v>
      </c>
    </row>
    <row r="305" spans="1:11" x14ac:dyDescent="0.25">
      <c r="A305">
        <v>304</v>
      </c>
      <c r="B305" t="s">
        <v>17</v>
      </c>
      <c r="C305" t="s">
        <v>18</v>
      </c>
      <c r="D305">
        <v>541</v>
      </c>
      <c r="E305">
        <v>11.4</v>
      </c>
      <c r="F305">
        <v>2443</v>
      </c>
      <c r="G305">
        <v>89</v>
      </c>
      <c r="H305">
        <v>1923</v>
      </c>
      <c r="I305">
        <v>34</v>
      </c>
      <c r="J305" t="s">
        <v>15</v>
      </c>
      <c r="K305">
        <v>5</v>
      </c>
    </row>
    <row r="306" spans="1:11" x14ac:dyDescent="0.25">
      <c r="A306">
        <v>305</v>
      </c>
      <c r="B306" t="s">
        <v>17</v>
      </c>
      <c r="C306" t="s">
        <v>18</v>
      </c>
      <c r="D306">
        <v>155</v>
      </c>
      <c r="E306">
        <v>2.9</v>
      </c>
      <c r="F306">
        <v>1117</v>
      </c>
      <c r="G306">
        <v>22</v>
      </c>
      <c r="H306">
        <v>322</v>
      </c>
      <c r="I306">
        <v>19</v>
      </c>
      <c r="J306" t="s">
        <v>15</v>
      </c>
      <c r="K306">
        <v>2</v>
      </c>
    </row>
    <row r="307" spans="1:11" x14ac:dyDescent="0.25">
      <c r="A307">
        <v>306</v>
      </c>
      <c r="B307" t="s">
        <v>14</v>
      </c>
      <c r="C307" t="s">
        <v>12</v>
      </c>
      <c r="D307">
        <v>106</v>
      </c>
      <c r="E307">
        <v>2.8</v>
      </c>
      <c r="F307">
        <v>686</v>
      </c>
      <c r="G307">
        <v>32</v>
      </c>
      <c r="H307">
        <v>594</v>
      </c>
      <c r="I307">
        <v>27</v>
      </c>
      <c r="J307" t="s">
        <v>13</v>
      </c>
      <c r="K307">
        <v>2</v>
      </c>
    </row>
    <row r="308" spans="1:11" x14ac:dyDescent="0.25">
      <c r="A308">
        <v>307</v>
      </c>
      <c r="B308" t="s">
        <v>14</v>
      </c>
      <c r="C308" t="s">
        <v>12</v>
      </c>
      <c r="D308">
        <v>243</v>
      </c>
      <c r="E308">
        <v>5</v>
      </c>
      <c r="F308">
        <v>1232</v>
      </c>
      <c r="G308">
        <v>47</v>
      </c>
      <c r="H308">
        <v>877</v>
      </c>
      <c r="I308">
        <v>43</v>
      </c>
      <c r="J308" t="s">
        <v>13</v>
      </c>
      <c r="K308">
        <v>3</v>
      </c>
    </row>
    <row r="309" spans="1:11" x14ac:dyDescent="0.25">
      <c r="A309">
        <v>308</v>
      </c>
      <c r="B309" t="s">
        <v>14</v>
      </c>
      <c r="C309" t="s">
        <v>12</v>
      </c>
      <c r="D309">
        <v>410</v>
      </c>
      <c r="E309">
        <v>7.5</v>
      </c>
      <c r="F309">
        <v>2176</v>
      </c>
      <c r="G309">
        <v>68</v>
      </c>
      <c r="H309">
        <v>1213</v>
      </c>
      <c r="I309">
        <v>45</v>
      </c>
      <c r="J309" t="s">
        <v>15</v>
      </c>
      <c r="K309">
        <v>4</v>
      </c>
    </row>
    <row r="310" spans="1:11" x14ac:dyDescent="0.25">
      <c r="A310">
        <v>309</v>
      </c>
      <c r="B310" t="s">
        <v>17</v>
      </c>
      <c r="C310" t="s">
        <v>18</v>
      </c>
      <c r="D310">
        <v>285</v>
      </c>
      <c r="E310">
        <v>5.0999999999999996</v>
      </c>
      <c r="F310">
        <v>1226</v>
      </c>
      <c r="G310">
        <v>57</v>
      </c>
      <c r="H310">
        <v>666</v>
      </c>
      <c r="I310">
        <v>20</v>
      </c>
      <c r="J310" t="s">
        <v>15</v>
      </c>
      <c r="K310">
        <v>3</v>
      </c>
    </row>
    <row r="311" spans="1:11" x14ac:dyDescent="0.25">
      <c r="A311">
        <v>310</v>
      </c>
      <c r="B311" t="s">
        <v>14</v>
      </c>
      <c r="C311" t="s">
        <v>12</v>
      </c>
      <c r="D311">
        <v>397</v>
      </c>
      <c r="E311">
        <v>6.8</v>
      </c>
      <c r="F311">
        <v>2027</v>
      </c>
      <c r="G311">
        <v>66</v>
      </c>
      <c r="H311">
        <v>1167</v>
      </c>
      <c r="I311">
        <v>40</v>
      </c>
      <c r="J311" t="s">
        <v>13</v>
      </c>
      <c r="K311">
        <v>4</v>
      </c>
    </row>
    <row r="312" spans="1:11" x14ac:dyDescent="0.25">
      <c r="A312">
        <v>311</v>
      </c>
      <c r="B312" t="s">
        <v>19</v>
      </c>
      <c r="C312" t="s">
        <v>12</v>
      </c>
      <c r="D312">
        <v>230</v>
      </c>
      <c r="E312">
        <v>4.2</v>
      </c>
      <c r="F312">
        <v>1507</v>
      </c>
      <c r="G312">
        <v>51</v>
      </c>
      <c r="H312">
        <v>868</v>
      </c>
      <c r="I312">
        <v>25</v>
      </c>
      <c r="J312" t="s">
        <v>15</v>
      </c>
      <c r="K312">
        <v>3</v>
      </c>
    </row>
    <row r="313" spans="1:11" x14ac:dyDescent="0.25">
      <c r="A313">
        <v>312</v>
      </c>
      <c r="B313" t="s">
        <v>17</v>
      </c>
      <c r="C313" t="s">
        <v>18</v>
      </c>
      <c r="D313">
        <v>341</v>
      </c>
      <c r="E313">
        <v>7.2</v>
      </c>
      <c r="F313">
        <v>2397</v>
      </c>
      <c r="G313">
        <v>68</v>
      </c>
      <c r="H313">
        <v>1055</v>
      </c>
      <c r="I313">
        <v>32</v>
      </c>
      <c r="J313" t="s">
        <v>15</v>
      </c>
      <c r="K313">
        <v>4</v>
      </c>
    </row>
    <row r="314" spans="1:11" x14ac:dyDescent="0.25">
      <c r="A314">
        <v>313</v>
      </c>
      <c r="B314" t="s">
        <v>11</v>
      </c>
      <c r="C314" t="s">
        <v>12</v>
      </c>
      <c r="D314">
        <v>132</v>
      </c>
      <c r="E314">
        <v>2.9</v>
      </c>
      <c r="F314">
        <v>1054</v>
      </c>
      <c r="G314">
        <v>32</v>
      </c>
      <c r="H314">
        <v>563</v>
      </c>
      <c r="I314">
        <v>20</v>
      </c>
      <c r="J314" t="s">
        <v>13</v>
      </c>
      <c r="K314">
        <v>2</v>
      </c>
    </row>
    <row r="315" spans="1:11" x14ac:dyDescent="0.25">
      <c r="A315">
        <v>314</v>
      </c>
      <c r="B315" t="s">
        <v>16</v>
      </c>
      <c r="C315" t="s">
        <v>12</v>
      </c>
      <c r="D315">
        <v>130</v>
      </c>
      <c r="E315">
        <v>3</v>
      </c>
      <c r="F315">
        <v>820</v>
      </c>
      <c r="G315">
        <v>21</v>
      </c>
      <c r="H315">
        <v>308</v>
      </c>
      <c r="I315">
        <v>49</v>
      </c>
      <c r="J315" t="s">
        <v>15</v>
      </c>
      <c r="K315">
        <v>2</v>
      </c>
    </row>
    <row r="316" spans="1:11" x14ac:dyDescent="0.25">
      <c r="A316">
        <v>315</v>
      </c>
      <c r="B316" t="s">
        <v>17</v>
      </c>
      <c r="C316" t="s">
        <v>18</v>
      </c>
      <c r="D316">
        <v>281</v>
      </c>
      <c r="E316">
        <v>4.9000000000000004</v>
      </c>
      <c r="F316">
        <v>1566</v>
      </c>
      <c r="G316">
        <v>59</v>
      </c>
      <c r="H316">
        <v>632</v>
      </c>
      <c r="I316">
        <v>29</v>
      </c>
      <c r="J316" t="s">
        <v>13</v>
      </c>
      <c r="K316">
        <v>3</v>
      </c>
    </row>
    <row r="317" spans="1:11" x14ac:dyDescent="0.25">
      <c r="A317">
        <v>316</v>
      </c>
      <c r="B317" t="s">
        <v>14</v>
      </c>
      <c r="C317" t="s">
        <v>12</v>
      </c>
      <c r="D317">
        <v>74</v>
      </c>
      <c r="E317">
        <v>2</v>
      </c>
      <c r="F317">
        <v>320</v>
      </c>
      <c r="G317">
        <v>11</v>
      </c>
      <c r="H317">
        <v>103</v>
      </c>
      <c r="I317">
        <v>55</v>
      </c>
      <c r="J317" t="s">
        <v>15</v>
      </c>
      <c r="K317">
        <v>1</v>
      </c>
    </row>
    <row r="318" spans="1:11" x14ac:dyDescent="0.25">
      <c r="A318">
        <v>317</v>
      </c>
      <c r="B318" t="s">
        <v>14</v>
      </c>
      <c r="C318" t="s">
        <v>12</v>
      </c>
      <c r="D318">
        <v>299</v>
      </c>
      <c r="E318">
        <v>4.3</v>
      </c>
      <c r="F318">
        <v>1737</v>
      </c>
      <c r="G318">
        <v>43</v>
      </c>
      <c r="H318">
        <v>953</v>
      </c>
      <c r="I318">
        <v>42</v>
      </c>
      <c r="J318" t="s">
        <v>15</v>
      </c>
      <c r="K318">
        <v>3</v>
      </c>
    </row>
    <row r="319" spans="1:11" x14ac:dyDescent="0.25">
      <c r="A319">
        <v>318</v>
      </c>
      <c r="B319" t="s">
        <v>11</v>
      </c>
      <c r="C319" t="s">
        <v>12</v>
      </c>
      <c r="D319">
        <v>116</v>
      </c>
      <c r="E319">
        <v>2.2000000000000002</v>
      </c>
      <c r="F319">
        <v>827</v>
      </c>
      <c r="G319">
        <v>29</v>
      </c>
      <c r="H319">
        <v>434</v>
      </c>
      <c r="I319">
        <v>28</v>
      </c>
      <c r="J319" t="s">
        <v>15</v>
      </c>
      <c r="K319">
        <v>2</v>
      </c>
    </row>
    <row r="320" spans="1:11" x14ac:dyDescent="0.25">
      <c r="A320">
        <v>319</v>
      </c>
      <c r="B320" t="s">
        <v>14</v>
      </c>
      <c r="C320" t="s">
        <v>12</v>
      </c>
      <c r="D320">
        <v>408</v>
      </c>
      <c r="E320">
        <v>6.6</v>
      </c>
      <c r="F320">
        <v>2026</v>
      </c>
      <c r="G320">
        <v>63</v>
      </c>
      <c r="H320">
        <v>1076</v>
      </c>
      <c r="I320">
        <v>47</v>
      </c>
      <c r="J320" t="s">
        <v>15</v>
      </c>
      <c r="K320">
        <v>4</v>
      </c>
    </row>
    <row r="321" spans="1:11" x14ac:dyDescent="0.25">
      <c r="A321">
        <v>320</v>
      </c>
      <c r="B321" t="s">
        <v>11</v>
      </c>
      <c r="C321" t="s">
        <v>12</v>
      </c>
      <c r="D321">
        <v>508</v>
      </c>
      <c r="E321">
        <v>11.3</v>
      </c>
      <c r="F321">
        <v>2590</v>
      </c>
      <c r="G321">
        <v>81</v>
      </c>
      <c r="H321">
        <v>2481</v>
      </c>
      <c r="I321">
        <v>51</v>
      </c>
      <c r="J321" t="s">
        <v>13</v>
      </c>
      <c r="K321">
        <v>5</v>
      </c>
    </row>
    <row r="322" spans="1:11" x14ac:dyDescent="0.25">
      <c r="A322">
        <v>321</v>
      </c>
      <c r="B322" t="s">
        <v>17</v>
      </c>
      <c r="C322" t="s">
        <v>18</v>
      </c>
      <c r="D322">
        <v>227</v>
      </c>
      <c r="E322">
        <v>4.4000000000000004</v>
      </c>
      <c r="F322">
        <v>1275</v>
      </c>
      <c r="G322">
        <v>56</v>
      </c>
      <c r="H322">
        <v>984</v>
      </c>
      <c r="I322">
        <v>22</v>
      </c>
      <c r="J322" t="s">
        <v>15</v>
      </c>
      <c r="K322">
        <v>3</v>
      </c>
    </row>
    <row r="323" spans="1:11" x14ac:dyDescent="0.25">
      <c r="A323">
        <v>322</v>
      </c>
      <c r="B323" t="s">
        <v>11</v>
      </c>
      <c r="C323" t="s">
        <v>12</v>
      </c>
      <c r="D323">
        <v>274</v>
      </c>
      <c r="E323">
        <v>6</v>
      </c>
      <c r="F323">
        <v>1489</v>
      </c>
      <c r="G323">
        <v>56</v>
      </c>
      <c r="H323">
        <v>666</v>
      </c>
      <c r="I323">
        <v>57</v>
      </c>
      <c r="J323" t="s">
        <v>15</v>
      </c>
      <c r="K323">
        <v>3</v>
      </c>
    </row>
    <row r="324" spans="1:11" x14ac:dyDescent="0.25">
      <c r="A324">
        <v>323</v>
      </c>
      <c r="B324" t="s">
        <v>11</v>
      </c>
      <c r="C324" t="s">
        <v>12</v>
      </c>
      <c r="D324">
        <v>347</v>
      </c>
      <c r="E324">
        <v>6.3</v>
      </c>
      <c r="F324">
        <v>2001</v>
      </c>
      <c r="G324">
        <v>61</v>
      </c>
      <c r="H324">
        <v>1456</v>
      </c>
      <c r="I324">
        <v>21</v>
      </c>
      <c r="J324" t="s">
        <v>15</v>
      </c>
      <c r="K324">
        <v>4</v>
      </c>
    </row>
    <row r="325" spans="1:11" x14ac:dyDescent="0.25">
      <c r="A325">
        <v>324</v>
      </c>
      <c r="B325" t="s">
        <v>16</v>
      </c>
      <c r="C325" t="s">
        <v>12</v>
      </c>
      <c r="D325">
        <v>76</v>
      </c>
      <c r="E325">
        <v>1.3</v>
      </c>
      <c r="F325">
        <v>490</v>
      </c>
      <c r="G325">
        <v>14</v>
      </c>
      <c r="H325">
        <v>156</v>
      </c>
      <c r="I325">
        <v>31</v>
      </c>
      <c r="J325" t="s">
        <v>15</v>
      </c>
      <c r="K325">
        <v>1</v>
      </c>
    </row>
    <row r="326" spans="1:11" x14ac:dyDescent="0.25">
      <c r="A326">
        <v>325</v>
      </c>
      <c r="B326" t="s">
        <v>17</v>
      </c>
      <c r="C326" t="s">
        <v>18</v>
      </c>
      <c r="D326">
        <v>445</v>
      </c>
      <c r="E326">
        <v>7.5</v>
      </c>
      <c r="F326">
        <v>2007</v>
      </c>
      <c r="G326">
        <v>78</v>
      </c>
      <c r="H326">
        <v>1115</v>
      </c>
      <c r="I326">
        <v>23</v>
      </c>
      <c r="J326" t="s">
        <v>13</v>
      </c>
      <c r="K326">
        <v>4</v>
      </c>
    </row>
    <row r="327" spans="1:11" x14ac:dyDescent="0.25">
      <c r="A327">
        <v>326</v>
      </c>
      <c r="B327" t="s">
        <v>14</v>
      </c>
      <c r="C327" t="s">
        <v>12</v>
      </c>
      <c r="D327">
        <v>203</v>
      </c>
      <c r="E327">
        <v>4.3</v>
      </c>
      <c r="F327">
        <v>1554</v>
      </c>
      <c r="G327">
        <v>54</v>
      </c>
      <c r="H327">
        <v>638</v>
      </c>
      <c r="I327">
        <v>25</v>
      </c>
      <c r="J327" t="s">
        <v>15</v>
      </c>
      <c r="K327">
        <v>3</v>
      </c>
    </row>
    <row r="328" spans="1:11" x14ac:dyDescent="0.25">
      <c r="A328">
        <v>327</v>
      </c>
      <c r="B328" t="s">
        <v>19</v>
      </c>
      <c r="C328" t="s">
        <v>12</v>
      </c>
      <c r="D328">
        <v>199</v>
      </c>
      <c r="E328">
        <v>6</v>
      </c>
      <c r="F328">
        <v>1707</v>
      </c>
      <c r="G328">
        <v>57</v>
      </c>
      <c r="H328">
        <v>881</v>
      </c>
      <c r="I328">
        <v>55</v>
      </c>
      <c r="J328" t="s">
        <v>13</v>
      </c>
      <c r="K328">
        <v>3</v>
      </c>
    </row>
    <row r="329" spans="1:11" x14ac:dyDescent="0.25">
      <c r="A329">
        <v>328</v>
      </c>
      <c r="B329" t="s">
        <v>14</v>
      </c>
      <c r="C329" t="s">
        <v>12</v>
      </c>
      <c r="D329">
        <v>48</v>
      </c>
      <c r="E329">
        <v>2</v>
      </c>
      <c r="F329">
        <v>574</v>
      </c>
      <c r="G329">
        <v>18</v>
      </c>
      <c r="H329">
        <v>127</v>
      </c>
      <c r="I329">
        <v>24</v>
      </c>
      <c r="J329" t="s">
        <v>15</v>
      </c>
      <c r="K329">
        <v>1</v>
      </c>
    </row>
    <row r="330" spans="1:11" x14ac:dyDescent="0.25">
      <c r="A330">
        <v>329</v>
      </c>
      <c r="B330" t="s">
        <v>14</v>
      </c>
      <c r="C330" t="s">
        <v>12</v>
      </c>
      <c r="D330">
        <v>88</v>
      </c>
      <c r="E330">
        <v>1.6</v>
      </c>
      <c r="F330">
        <v>420</v>
      </c>
      <c r="G330">
        <v>12</v>
      </c>
      <c r="H330">
        <v>274</v>
      </c>
      <c r="I330">
        <v>31</v>
      </c>
      <c r="J330" t="s">
        <v>15</v>
      </c>
      <c r="K330">
        <v>1</v>
      </c>
    </row>
    <row r="331" spans="1:11" x14ac:dyDescent="0.25">
      <c r="A331">
        <v>330</v>
      </c>
      <c r="B331" t="s">
        <v>17</v>
      </c>
      <c r="C331" t="s">
        <v>18</v>
      </c>
      <c r="D331">
        <v>541</v>
      </c>
      <c r="E331">
        <v>8.3000000000000007</v>
      </c>
      <c r="F331">
        <v>2865</v>
      </c>
      <c r="G331">
        <v>89</v>
      </c>
      <c r="H331">
        <v>1820</v>
      </c>
      <c r="I331">
        <v>42</v>
      </c>
      <c r="J331" t="s">
        <v>15</v>
      </c>
      <c r="K331">
        <v>5</v>
      </c>
    </row>
    <row r="332" spans="1:11" x14ac:dyDescent="0.25">
      <c r="A332">
        <v>331</v>
      </c>
      <c r="B332" t="s">
        <v>11</v>
      </c>
      <c r="C332" t="s">
        <v>12</v>
      </c>
      <c r="D332">
        <v>233</v>
      </c>
      <c r="E332">
        <v>4.5999999999999996</v>
      </c>
      <c r="F332">
        <v>1534</v>
      </c>
      <c r="G332">
        <v>49</v>
      </c>
      <c r="H332">
        <v>796</v>
      </c>
      <c r="I332">
        <v>21</v>
      </c>
      <c r="J332" t="s">
        <v>15</v>
      </c>
      <c r="K332">
        <v>3</v>
      </c>
    </row>
    <row r="333" spans="1:11" x14ac:dyDescent="0.25">
      <c r="A333">
        <v>332</v>
      </c>
      <c r="B333" t="s">
        <v>17</v>
      </c>
      <c r="C333" t="s">
        <v>18</v>
      </c>
      <c r="D333">
        <v>176</v>
      </c>
      <c r="E333">
        <v>3.8</v>
      </c>
      <c r="F333">
        <v>727</v>
      </c>
      <c r="G333">
        <v>36</v>
      </c>
      <c r="H333">
        <v>362</v>
      </c>
      <c r="I333">
        <v>47</v>
      </c>
      <c r="J333" t="s">
        <v>15</v>
      </c>
      <c r="K333">
        <v>2</v>
      </c>
    </row>
    <row r="334" spans="1:11" x14ac:dyDescent="0.25">
      <c r="A334">
        <v>333</v>
      </c>
      <c r="B334" t="s">
        <v>14</v>
      </c>
      <c r="C334" t="s">
        <v>12</v>
      </c>
      <c r="D334">
        <v>191</v>
      </c>
      <c r="E334">
        <v>6</v>
      </c>
      <c r="F334">
        <v>1762</v>
      </c>
      <c r="G334">
        <v>45</v>
      </c>
      <c r="H334">
        <v>904</v>
      </c>
      <c r="I334">
        <v>54</v>
      </c>
      <c r="J334" t="s">
        <v>13</v>
      </c>
      <c r="K334">
        <v>3</v>
      </c>
    </row>
    <row r="335" spans="1:11" x14ac:dyDescent="0.25">
      <c r="A335">
        <v>334</v>
      </c>
      <c r="B335" t="s">
        <v>11</v>
      </c>
      <c r="C335" t="s">
        <v>12</v>
      </c>
      <c r="D335">
        <v>461</v>
      </c>
      <c r="E335">
        <v>7.5</v>
      </c>
      <c r="F335">
        <v>2001</v>
      </c>
      <c r="G335">
        <v>69</v>
      </c>
      <c r="H335">
        <v>1324</v>
      </c>
      <c r="I335">
        <v>34</v>
      </c>
      <c r="J335" t="s">
        <v>15</v>
      </c>
      <c r="K335">
        <v>4</v>
      </c>
    </row>
    <row r="336" spans="1:11" x14ac:dyDescent="0.25">
      <c r="A336">
        <v>335</v>
      </c>
      <c r="B336" t="s">
        <v>19</v>
      </c>
      <c r="C336" t="s">
        <v>12</v>
      </c>
      <c r="D336">
        <v>37</v>
      </c>
      <c r="E336">
        <v>1.5</v>
      </c>
      <c r="F336">
        <v>375</v>
      </c>
      <c r="G336">
        <v>18</v>
      </c>
      <c r="H336">
        <v>246</v>
      </c>
      <c r="I336">
        <v>46</v>
      </c>
      <c r="J336" t="s">
        <v>15</v>
      </c>
      <c r="K336">
        <v>1</v>
      </c>
    </row>
    <row r="337" spans="1:11" x14ac:dyDescent="0.25">
      <c r="A337">
        <v>336</v>
      </c>
      <c r="B337" t="s">
        <v>14</v>
      </c>
      <c r="C337" t="s">
        <v>12</v>
      </c>
      <c r="D337">
        <v>531</v>
      </c>
      <c r="E337">
        <v>9.8000000000000007</v>
      </c>
      <c r="F337">
        <v>2905</v>
      </c>
      <c r="G337">
        <v>99</v>
      </c>
      <c r="H337">
        <v>1632</v>
      </c>
      <c r="I337">
        <v>45</v>
      </c>
      <c r="J337" t="s">
        <v>15</v>
      </c>
      <c r="K337">
        <v>5</v>
      </c>
    </row>
    <row r="338" spans="1:11" x14ac:dyDescent="0.25">
      <c r="A338">
        <v>337</v>
      </c>
      <c r="B338" t="s">
        <v>19</v>
      </c>
      <c r="C338" t="s">
        <v>12</v>
      </c>
      <c r="D338">
        <v>473</v>
      </c>
      <c r="E338">
        <v>7.9</v>
      </c>
      <c r="F338">
        <v>2292</v>
      </c>
      <c r="G338">
        <v>62</v>
      </c>
      <c r="H338">
        <v>1472</v>
      </c>
      <c r="I338">
        <v>44</v>
      </c>
      <c r="J338" t="s">
        <v>13</v>
      </c>
      <c r="K338">
        <v>4</v>
      </c>
    </row>
    <row r="339" spans="1:11" x14ac:dyDescent="0.25">
      <c r="A339">
        <v>338</v>
      </c>
      <c r="B339" t="s">
        <v>19</v>
      </c>
      <c r="C339" t="s">
        <v>12</v>
      </c>
      <c r="D339">
        <v>30</v>
      </c>
      <c r="E339">
        <v>1.3</v>
      </c>
      <c r="F339">
        <v>561</v>
      </c>
      <c r="G339">
        <v>15</v>
      </c>
      <c r="H339">
        <v>252</v>
      </c>
      <c r="I339">
        <v>34</v>
      </c>
      <c r="J339" t="s">
        <v>13</v>
      </c>
      <c r="K339">
        <v>1</v>
      </c>
    </row>
    <row r="340" spans="1:11" x14ac:dyDescent="0.25">
      <c r="A340">
        <v>339</v>
      </c>
      <c r="B340" t="s">
        <v>17</v>
      </c>
      <c r="C340" t="s">
        <v>18</v>
      </c>
      <c r="D340">
        <v>306</v>
      </c>
      <c r="E340">
        <v>6.1</v>
      </c>
      <c r="F340">
        <v>2267</v>
      </c>
      <c r="G340">
        <v>70</v>
      </c>
      <c r="H340">
        <v>1449</v>
      </c>
      <c r="I340">
        <v>46</v>
      </c>
      <c r="J340" t="s">
        <v>13</v>
      </c>
      <c r="K340">
        <v>4</v>
      </c>
    </row>
    <row r="341" spans="1:11" x14ac:dyDescent="0.25">
      <c r="A341">
        <v>340</v>
      </c>
      <c r="B341" t="s">
        <v>17</v>
      </c>
      <c r="C341" t="s">
        <v>18</v>
      </c>
      <c r="D341">
        <v>64</v>
      </c>
      <c r="E341">
        <v>1.2</v>
      </c>
      <c r="F341">
        <v>590</v>
      </c>
      <c r="G341">
        <v>13</v>
      </c>
      <c r="H341">
        <v>155</v>
      </c>
      <c r="I341">
        <v>30</v>
      </c>
      <c r="J341" t="s">
        <v>13</v>
      </c>
      <c r="K341">
        <v>1</v>
      </c>
    </row>
    <row r="342" spans="1:11" x14ac:dyDescent="0.25">
      <c r="A342">
        <v>341</v>
      </c>
      <c r="B342" t="s">
        <v>17</v>
      </c>
      <c r="C342" t="s">
        <v>18</v>
      </c>
      <c r="D342">
        <v>75</v>
      </c>
      <c r="E342">
        <v>1</v>
      </c>
      <c r="F342">
        <v>435</v>
      </c>
      <c r="G342">
        <v>13</v>
      </c>
      <c r="H342">
        <v>223</v>
      </c>
      <c r="I342">
        <v>43</v>
      </c>
      <c r="J342" t="s">
        <v>13</v>
      </c>
      <c r="K342">
        <v>1</v>
      </c>
    </row>
    <row r="343" spans="1:11" x14ac:dyDescent="0.25">
      <c r="A343">
        <v>342</v>
      </c>
      <c r="B343" t="s">
        <v>17</v>
      </c>
      <c r="C343" t="s">
        <v>18</v>
      </c>
      <c r="D343">
        <v>597</v>
      </c>
      <c r="E343">
        <v>10.3</v>
      </c>
      <c r="F343">
        <v>2718</v>
      </c>
      <c r="G343">
        <v>90</v>
      </c>
      <c r="H343">
        <v>1863</v>
      </c>
      <c r="I343">
        <v>26</v>
      </c>
      <c r="J343" t="s">
        <v>15</v>
      </c>
      <c r="K343">
        <v>5</v>
      </c>
    </row>
    <row r="344" spans="1:11" x14ac:dyDescent="0.25">
      <c r="A344">
        <v>343</v>
      </c>
      <c r="B344" t="s">
        <v>17</v>
      </c>
      <c r="C344" t="s">
        <v>18</v>
      </c>
      <c r="D344">
        <v>529</v>
      </c>
      <c r="E344">
        <v>10.5</v>
      </c>
      <c r="F344">
        <v>2971</v>
      </c>
      <c r="G344">
        <v>87</v>
      </c>
      <c r="H344">
        <v>1683</v>
      </c>
      <c r="I344">
        <v>56</v>
      </c>
      <c r="J344" t="s">
        <v>13</v>
      </c>
      <c r="K344">
        <v>5</v>
      </c>
    </row>
    <row r="345" spans="1:11" x14ac:dyDescent="0.25">
      <c r="A345">
        <v>344</v>
      </c>
      <c r="B345" t="s">
        <v>17</v>
      </c>
      <c r="C345" t="s">
        <v>18</v>
      </c>
      <c r="D345">
        <v>290</v>
      </c>
      <c r="E345">
        <v>6</v>
      </c>
      <c r="F345">
        <v>1533</v>
      </c>
      <c r="G345">
        <v>54</v>
      </c>
      <c r="H345">
        <v>645</v>
      </c>
      <c r="I345">
        <v>57</v>
      </c>
      <c r="J345" t="s">
        <v>15</v>
      </c>
      <c r="K345">
        <v>3</v>
      </c>
    </row>
    <row r="346" spans="1:11" x14ac:dyDescent="0.25">
      <c r="A346">
        <v>345</v>
      </c>
      <c r="B346" t="s">
        <v>17</v>
      </c>
      <c r="C346" t="s">
        <v>18</v>
      </c>
      <c r="D346">
        <v>256</v>
      </c>
      <c r="E346">
        <v>5.8</v>
      </c>
      <c r="F346">
        <v>1309</v>
      </c>
      <c r="G346">
        <v>52</v>
      </c>
      <c r="H346">
        <v>840</v>
      </c>
      <c r="I346">
        <v>43</v>
      </c>
      <c r="J346" t="s">
        <v>13</v>
      </c>
      <c r="K346">
        <v>3</v>
      </c>
    </row>
    <row r="347" spans="1:11" x14ac:dyDescent="0.25">
      <c r="A347">
        <v>346</v>
      </c>
      <c r="B347" t="s">
        <v>17</v>
      </c>
      <c r="C347" t="s">
        <v>18</v>
      </c>
      <c r="D347">
        <v>308</v>
      </c>
      <c r="E347">
        <v>7.7</v>
      </c>
      <c r="F347">
        <v>1974</v>
      </c>
      <c r="G347">
        <v>73</v>
      </c>
      <c r="H347">
        <v>1431</v>
      </c>
      <c r="I347">
        <v>37</v>
      </c>
      <c r="J347" t="s">
        <v>15</v>
      </c>
      <c r="K347">
        <v>4</v>
      </c>
    </row>
    <row r="348" spans="1:11" x14ac:dyDescent="0.25">
      <c r="A348">
        <v>347</v>
      </c>
      <c r="B348" t="s">
        <v>14</v>
      </c>
      <c r="C348" t="s">
        <v>12</v>
      </c>
      <c r="D348">
        <v>156</v>
      </c>
      <c r="E348">
        <v>3.3</v>
      </c>
      <c r="F348">
        <v>1020</v>
      </c>
      <c r="G348">
        <v>38</v>
      </c>
      <c r="H348">
        <v>447</v>
      </c>
      <c r="I348">
        <v>57</v>
      </c>
      <c r="J348" t="s">
        <v>15</v>
      </c>
      <c r="K348">
        <v>2</v>
      </c>
    </row>
    <row r="349" spans="1:11" x14ac:dyDescent="0.25">
      <c r="A349">
        <v>348</v>
      </c>
      <c r="B349" t="s">
        <v>19</v>
      </c>
      <c r="C349" t="s">
        <v>12</v>
      </c>
      <c r="D349">
        <v>62</v>
      </c>
      <c r="E349">
        <v>1.4</v>
      </c>
      <c r="F349">
        <v>542</v>
      </c>
      <c r="G349">
        <v>18</v>
      </c>
      <c r="H349">
        <v>266</v>
      </c>
      <c r="I349">
        <v>46</v>
      </c>
      <c r="J349" t="s">
        <v>13</v>
      </c>
      <c r="K349">
        <v>1</v>
      </c>
    </row>
    <row r="350" spans="1:11" x14ac:dyDescent="0.25">
      <c r="A350">
        <v>349</v>
      </c>
      <c r="B350" t="s">
        <v>11</v>
      </c>
      <c r="C350" t="s">
        <v>12</v>
      </c>
      <c r="D350">
        <v>156</v>
      </c>
      <c r="E350">
        <v>3.8</v>
      </c>
      <c r="F350">
        <v>866</v>
      </c>
      <c r="G350">
        <v>34</v>
      </c>
      <c r="H350">
        <v>510</v>
      </c>
      <c r="I350">
        <v>26</v>
      </c>
      <c r="J350" t="s">
        <v>13</v>
      </c>
      <c r="K350">
        <v>2</v>
      </c>
    </row>
    <row r="351" spans="1:11" x14ac:dyDescent="0.25">
      <c r="A351">
        <v>350</v>
      </c>
      <c r="B351" t="s">
        <v>19</v>
      </c>
      <c r="C351" t="s">
        <v>12</v>
      </c>
      <c r="D351">
        <v>303</v>
      </c>
      <c r="E351">
        <v>7.4</v>
      </c>
      <c r="F351">
        <v>2314</v>
      </c>
      <c r="G351">
        <v>66</v>
      </c>
      <c r="H351">
        <v>1387</v>
      </c>
      <c r="I351">
        <v>34</v>
      </c>
      <c r="J351" t="s">
        <v>13</v>
      </c>
      <c r="K351">
        <v>4</v>
      </c>
    </row>
    <row r="352" spans="1:11" x14ac:dyDescent="0.25">
      <c r="A352">
        <v>351</v>
      </c>
      <c r="B352" t="s">
        <v>19</v>
      </c>
      <c r="C352" t="s">
        <v>12</v>
      </c>
      <c r="D352">
        <v>463</v>
      </c>
      <c r="E352">
        <v>6.9</v>
      </c>
      <c r="F352">
        <v>2111</v>
      </c>
      <c r="G352">
        <v>73</v>
      </c>
      <c r="H352">
        <v>1463</v>
      </c>
      <c r="I352">
        <v>54</v>
      </c>
      <c r="J352" t="s">
        <v>13</v>
      </c>
      <c r="K352">
        <v>4</v>
      </c>
    </row>
    <row r="353" spans="1:11" x14ac:dyDescent="0.25">
      <c r="A353">
        <v>352</v>
      </c>
      <c r="B353" t="s">
        <v>11</v>
      </c>
      <c r="C353" t="s">
        <v>12</v>
      </c>
      <c r="D353">
        <v>60</v>
      </c>
      <c r="E353">
        <v>1.5</v>
      </c>
      <c r="F353">
        <v>593</v>
      </c>
      <c r="G353">
        <v>14</v>
      </c>
      <c r="H353">
        <v>281</v>
      </c>
      <c r="I353">
        <v>35</v>
      </c>
      <c r="J353" t="s">
        <v>15</v>
      </c>
      <c r="K353">
        <v>1</v>
      </c>
    </row>
    <row r="354" spans="1:11" x14ac:dyDescent="0.25">
      <c r="A354">
        <v>353</v>
      </c>
      <c r="B354" t="s">
        <v>11</v>
      </c>
      <c r="C354" t="s">
        <v>12</v>
      </c>
      <c r="D354">
        <v>225</v>
      </c>
      <c r="E354">
        <v>4.5999999999999996</v>
      </c>
      <c r="F354">
        <v>1230</v>
      </c>
      <c r="G354">
        <v>52</v>
      </c>
      <c r="H354">
        <v>954</v>
      </c>
      <c r="I354">
        <v>20</v>
      </c>
      <c r="J354" t="s">
        <v>15</v>
      </c>
      <c r="K354">
        <v>3</v>
      </c>
    </row>
    <row r="355" spans="1:11" x14ac:dyDescent="0.25">
      <c r="A355">
        <v>354</v>
      </c>
      <c r="B355" t="s">
        <v>19</v>
      </c>
      <c r="C355" t="s">
        <v>12</v>
      </c>
      <c r="D355">
        <v>379</v>
      </c>
      <c r="E355">
        <v>7.5</v>
      </c>
      <c r="F355">
        <v>1823</v>
      </c>
      <c r="G355">
        <v>68</v>
      </c>
      <c r="H355">
        <v>1075</v>
      </c>
      <c r="I355">
        <v>53</v>
      </c>
      <c r="J355" t="s">
        <v>15</v>
      </c>
      <c r="K355">
        <v>4</v>
      </c>
    </row>
    <row r="356" spans="1:11" x14ac:dyDescent="0.25">
      <c r="A356">
        <v>355</v>
      </c>
      <c r="B356" t="s">
        <v>14</v>
      </c>
      <c r="C356" t="s">
        <v>12</v>
      </c>
      <c r="D356">
        <v>53</v>
      </c>
      <c r="E356">
        <v>1.4</v>
      </c>
      <c r="F356">
        <v>455</v>
      </c>
      <c r="G356">
        <v>14</v>
      </c>
      <c r="H356">
        <v>106</v>
      </c>
      <c r="I356">
        <v>54</v>
      </c>
      <c r="J356" t="s">
        <v>15</v>
      </c>
      <c r="K356">
        <v>1</v>
      </c>
    </row>
    <row r="357" spans="1:11" x14ac:dyDescent="0.25">
      <c r="A357">
        <v>356</v>
      </c>
      <c r="B357" t="s">
        <v>19</v>
      </c>
      <c r="C357" t="s">
        <v>12</v>
      </c>
      <c r="D357">
        <v>30</v>
      </c>
      <c r="E357">
        <v>1.9</v>
      </c>
      <c r="F357">
        <v>574</v>
      </c>
      <c r="G357">
        <v>19</v>
      </c>
      <c r="H357">
        <v>287</v>
      </c>
      <c r="I357">
        <v>45</v>
      </c>
      <c r="J357" t="s">
        <v>13</v>
      </c>
      <c r="K357">
        <v>1</v>
      </c>
    </row>
    <row r="358" spans="1:11" x14ac:dyDescent="0.25">
      <c r="A358">
        <v>357</v>
      </c>
      <c r="B358" t="s">
        <v>17</v>
      </c>
      <c r="C358" t="s">
        <v>18</v>
      </c>
      <c r="D358">
        <v>291</v>
      </c>
      <c r="E358">
        <v>4.0999999999999996</v>
      </c>
      <c r="F358">
        <v>1326</v>
      </c>
      <c r="G358">
        <v>51</v>
      </c>
      <c r="H358">
        <v>905</v>
      </c>
      <c r="I358">
        <v>55</v>
      </c>
      <c r="J358" t="s">
        <v>15</v>
      </c>
      <c r="K358">
        <v>3</v>
      </c>
    </row>
    <row r="359" spans="1:11" x14ac:dyDescent="0.25">
      <c r="A359">
        <v>358</v>
      </c>
      <c r="B359" t="s">
        <v>17</v>
      </c>
      <c r="C359" t="s">
        <v>18</v>
      </c>
      <c r="D359">
        <v>488</v>
      </c>
      <c r="E359">
        <v>9.5</v>
      </c>
      <c r="F359">
        <v>2840</v>
      </c>
      <c r="G359">
        <v>92</v>
      </c>
      <c r="H359">
        <v>1986</v>
      </c>
      <c r="I359">
        <v>48</v>
      </c>
      <c r="J359" t="s">
        <v>15</v>
      </c>
      <c r="K359">
        <v>5</v>
      </c>
    </row>
    <row r="360" spans="1:11" x14ac:dyDescent="0.25">
      <c r="A360">
        <v>359</v>
      </c>
      <c r="B360" t="s">
        <v>11</v>
      </c>
      <c r="C360" t="s">
        <v>12</v>
      </c>
      <c r="D360">
        <v>74</v>
      </c>
      <c r="E360">
        <v>2</v>
      </c>
      <c r="F360">
        <v>366</v>
      </c>
      <c r="G360">
        <v>13</v>
      </c>
      <c r="H360">
        <v>253</v>
      </c>
      <c r="I360">
        <v>44</v>
      </c>
      <c r="J360" t="s">
        <v>15</v>
      </c>
      <c r="K360">
        <v>1</v>
      </c>
    </row>
    <row r="361" spans="1:11" x14ac:dyDescent="0.25">
      <c r="A361">
        <v>360</v>
      </c>
      <c r="B361" t="s">
        <v>19</v>
      </c>
      <c r="C361" t="s">
        <v>12</v>
      </c>
      <c r="D361">
        <v>230</v>
      </c>
      <c r="E361">
        <v>4.5999999999999996</v>
      </c>
      <c r="F361">
        <v>1325</v>
      </c>
      <c r="G361">
        <v>55</v>
      </c>
      <c r="H361">
        <v>845</v>
      </c>
      <c r="I361">
        <v>54</v>
      </c>
      <c r="J361" t="s">
        <v>15</v>
      </c>
      <c r="K361">
        <v>3</v>
      </c>
    </row>
    <row r="362" spans="1:11" x14ac:dyDescent="0.25">
      <c r="A362">
        <v>361</v>
      </c>
      <c r="B362" t="s">
        <v>19</v>
      </c>
      <c r="C362" t="s">
        <v>12</v>
      </c>
      <c r="D362">
        <v>517</v>
      </c>
      <c r="E362">
        <v>11.8</v>
      </c>
      <c r="F362">
        <v>2435</v>
      </c>
      <c r="G362">
        <v>86</v>
      </c>
      <c r="H362">
        <v>2208</v>
      </c>
      <c r="I362">
        <v>26</v>
      </c>
      <c r="J362" t="s">
        <v>13</v>
      </c>
      <c r="K362">
        <v>5</v>
      </c>
    </row>
    <row r="363" spans="1:11" x14ac:dyDescent="0.25">
      <c r="A363">
        <v>362</v>
      </c>
      <c r="B363" t="s">
        <v>14</v>
      </c>
      <c r="C363" t="s">
        <v>12</v>
      </c>
      <c r="D363">
        <v>557</v>
      </c>
      <c r="E363">
        <v>10.4</v>
      </c>
      <c r="F363">
        <v>2900</v>
      </c>
      <c r="G363">
        <v>97</v>
      </c>
      <c r="H363">
        <v>1609</v>
      </c>
      <c r="I363">
        <v>22</v>
      </c>
      <c r="J363" t="s">
        <v>13</v>
      </c>
      <c r="K363">
        <v>5</v>
      </c>
    </row>
    <row r="364" spans="1:11" x14ac:dyDescent="0.25">
      <c r="A364">
        <v>363</v>
      </c>
      <c r="B364" t="s">
        <v>16</v>
      </c>
      <c r="C364" t="s">
        <v>12</v>
      </c>
      <c r="D364">
        <v>78</v>
      </c>
      <c r="E364">
        <v>1.5</v>
      </c>
      <c r="F364">
        <v>341</v>
      </c>
      <c r="G364">
        <v>11</v>
      </c>
      <c r="H364">
        <v>259</v>
      </c>
      <c r="I364">
        <v>38</v>
      </c>
      <c r="J364" t="s">
        <v>15</v>
      </c>
      <c r="K364">
        <v>1</v>
      </c>
    </row>
    <row r="365" spans="1:11" x14ac:dyDescent="0.25">
      <c r="A365">
        <v>364</v>
      </c>
      <c r="B365" t="s">
        <v>17</v>
      </c>
      <c r="C365" t="s">
        <v>18</v>
      </c>
      <c r="D365">
        <v>321</v>
      </c>
      <c r="E365">
        <v>7.9</v>
      </c>
      <c r="F365">
        <v>2159</v>
      </c>
      <c r="G365">
        <v>64</v>
      </c>
      <c r="H365">
        <v>1499</v>
      </c>
      <c r="I365">
        <v>45</v>
      </c>
      <c r="J365" t="s">
        <v>13</v>
      </c>
      <c r="K365">
        <v>4</v>
      </c>
    </row>
    <row r="366" spans="1:11" x14ac:dyDescent="0.25">
      <c r="A366">
        <v>365</v>
      </c>
      <c r="B366" t="s">
        <v>16</v>
      </c>
      <c r="C366" t="s">
        <v>12</v>
      </c>
      <c r="D366">
        <v>579</v>
      </c>
      <c r="E366">
        <v>8.6</v>
      </c>
      <c r="F366">
        <v>2539</v>
      </c>
      <c r="G366">
        <v>84</v>
      </c>
      <c r="H366">
        <v>1935</v>
      </c>
      <c r="I366">
        <v>34</v>
      </c>
      <c r="J366" t="s">
        <v>13</v>
      </c>
      <c r="K366">
        <v>5</v>
      </c>
    </row>
    <row r="367" spans="1:11" x14ac:dyDescent="0.25">
      <c r="A367">
        <v>366</v>
      </c>
      <c r="B367" t="s">
        <v>14</v>
      </c>
      <c r="C367" t="s">
        <v>12</v>
      </c>
      <c r="D367">
        <v>382</v>
      </c>
      <c r="E367">
        <v>7.2</v>
      </c>
      <c r="F367">
        <v>1965</v>
      </c>
      <c r="G367">
        <v>67</v>
      </c>
      <c r="H367">
        <v>1341</v>
      </c>
      <c r="I367">
        <v>22</v>
      </c>
      <c r="J367" t="s">
        <v>13</v>
      </c>
      <c r="K367">
        <v>4</v>
      </c>
    </row>
    <row r="368" spans="1:11" x14ac:dyDescent="0.25">
      <c r="A368">
        <v>367</v>
      </c>
      <c r="B368" t="s">
        <v>16</v>
      </c>
      <c r="C368" t="s">
        <v>12</v>
      </c>
      <c r="D368">
        <v>516</v>
      </c>
      <c r="E368">
        <v>11.6</v>
      </c>
      <c r="F368">
        <v>2464</v>
      </c>
      <c r="G368">
        <v>82</v>
      </c>
      <c r="H368">
        <v>1767</v>
      </c>
      <c r="I368">
        <v>29</v>
      </c>
      <c r="J368" t="s">
        <v>15</v>
      </c>
      <c r="K368">
        <v>5</v>
      </c>
    </row>
    <row r="369" spans="1:11" x14ac:dyDescent="0.25">
      <c r="A369">
        <v>368</v>
      </c>
      <c r="B369" t="s">
        <v>14</v>
      </c>
      <c r="C369" t="s">
        <v>12</v>
      </c>
      <c r="D369">
        <v>598</v>
      </c>
      <c r="E369">
        <v>11.2</v>
      </c>
      <c r="F369">
        <v>2876</v>
      </c>
      <c r="G369">
        <v>85</v>
      </c>
      <c r="H369">
        <v>2477</v>
      </c>
      <c r="I369">
        <v>58</v>
      </c>
      <c r="J369" t="s">
        <v>15</v>
      </c>
      <c r="K369">
        <v>5</v>
      </c>
    </row>
    <row r="370" spans="1:11" x14ac:dyDescent="0.25">
      <c r="A370">
        <v>369</v>
      </c>
      <c r="B370" t="s">
        <v>14</v>
      </c>
      <c r="C370" t="s">
        <v>12</v>
      </c>
      <c r="D370">
        <v>102</v>
      </c>
      <c r="E370">
        <v>3.9</v>
      </c>
      <c r="F370">
        <v>747</v>
      </c>
      <c r="G370">
        <v>36</v>
      </c>
      <c r="H370">
        <v>408</v>
      </c>
      <c r="I370">
        <v>49</v>
      </c>
      <c r="J370" t="s">
        <v>15</v>
      </c>
      <c r="K370">
        <v>2</v>
      </c>
    </row>
    <row r="371" spans="1:11" x14ac:dyDescent="0.25">
      <c r="A371">
        <v>370</v>
      </c>
      <c r="B371" t="s">
        <v>17</v>
      </c>
      <c r="C371" t="s">
        <v>18</v>
      </c>
      <c r="D371">
        <v>165</v>
      </c>
      <c r="E371">
        <v>2.4</v>
      </c>
      <c r="F371">
        <v>816</v>
      </c>
      <c r="G371">
        <v>35</v>
      </c>
      <c r="H371">
        <v>503</v>
      </c>
      <c r="I371">
        <v>34</v>
      </c>
      <c r="J371" t="s">
        <v>13</v>
      </c>
      <c r="K371">
        <v>2</v>
      </c>
    </row>
    <row r="372" spans="1:11" x14ac:dyDescent="0.25">
      <c r="A372">
        <v>371</v>
      </c>
      <c r="B372" t="s">
        <v>17</v>
      </c>
      <c r="C372" t="s">
        <v>18</v>
      </c>
      <c r="D372">
        <v>558</v>
      </c>
      <c r="E372">
        <v>9.8000000000000007</v>
      </c>
      <c r="F372">
        <v>2765</v>
      </c>
      <c r="G372">
        <v>83</v>
      </c>
      <c r="H372">
        <v>1548</v>
      </c>
      <c r="I372">
        <v>25</v>
      </c>
      <c r="J372" t="s">
        <v>15</v>
      </c>
      <c r="K372">
        <v>5</v>
      </c>
    </row>
    <row r="373" spans="1:11" x14ac:dyDescent="0.25">
      <c r="A373">
        <v>372</v>
      </c>
      <c r="B373" t="s">
        <v>11</v>
      </c>
      <c r="C373" t="s">
        <v>12</v>
      </c>
      <c r="D373">
        <v>561</v>
      </c>
      <c r="E373">
        <v>10.6</v>
      </c>
      <c r="F373">
        <v>2547</v>
      </c>
      <c r="G373">
        <v>86</v>
      </c>
      <c r="H373">
        <v>1823</v>
      </c>
      <c r="I373">
        <v>22</v>
      </c>
      <c r="J373" t="s">
        <v>13</v>
      </c>
      <c r="K373">
        <v>5</v>
      </c>
    </row>
    <row r="374" spans="1:11" x14ac:dyDescent="0.25">
      <c r="A374">
        <v>373</v>
      </c>
      <c r="B374" t="s">
        <v>19</v>
      </c>
      <c r="C374" t="s">
        <v>12</v>
      </c>
      <c r="D374">
        <v>511</v>
      </c>
      <c r="E374">
        <v>10.9</v>
      </c>
      <c r="F374">
        <v>2514</v>
      </c>
      <c r="G374">
        <v>91</v>
      </c>
      <c r="H374">
        <v>2335</v>
      </c>
      <c r="I374">
        <v>59</v>
      </c>
      <c r="J374" t="s">
        <v>15</v>
      </c>
      <c r="K374">
        <v>5</v>
      </c>
    </row>
    <row r="375" spans="1:11" x14ac:dyDescent="0.25">
      <c r="A375">
        <v>374</v>
      </c>
      <c r="B375" t="s">
        <v>11</v>
      </c>
      <c r="C375" t="s">
        <v>12</v>
      </c>
      <c r="D375">
        <v>560</v>
      </c>
      <c r="E375">
        <v>11.3</v>
      </c>
      <c r="F375">
        <v>2947</v>
      </c>
      <c r="G375">
        <v>95</v>
      </c>
      <c r="H375">
        <v>1663</v>
      </c>
      <c r="I375">
        <v>25</v>
      </c>
      <c r="J375" t="s">
        <v>15</v>
      </c>
      <c r="K375">
        <v>5</v>
      </c>
    </row>
    <row r="376" spans="1:11" x14ac:dyDescent="0.25">
      <c r="A376">
        <v>375</v>
      </c>
      <c r="B376" t="s">
        <v>14</v>
      </c>
      <c r="C376" t="s">
        <v>12</v>
      </c>
      <c r="D376">
        <v>69</v>
      </c>
      <c r="E376">
        <v>1.3</v>
      </c>
      <c r="F376">
        <v>434</v>
      </c>
      <c r="G376">
        <v>12</v>
      </c>
      <c r="H376">
        <v>164</v>
      </c>
      <c r="I376">
        <v>42</v>
      </c>
      <c r="J376" t="s">
        <v>13</v>
      </c>
      <c r="K376">
        <v>1</v>
      </c>
    </row>
    <row r="377" spans="1:11" x14ac:dyDescent="0.25">
      <c r="A377">
        <v>376</v>
      </c>
      <c r="B377" t="s">
        <v>14</v>
      </c>
      <c r="C377" t="s">
        <v>12</v>
      </c>
      <c r="D377">
        <v>44</v>
      </c>
      <c r="E377">
        <v>1.1000000000000001</v>
      </c>
      <c r="F377">
        <v>531</v>
      </c>
      <c r="G377">
        <v>17</v>
      </c>
      <c r="H377">
        <v>232</v>
      </c>
      <c r="I377">
        <v>26</v>
      </c>
      <c r="J377" t="s">
        <v>13</v>
      </c>
      <c r="K377">
        <v>1</v>
      </c>
    </row>
    <row r="378" spans="1:11" x14ac:dyDescent="0.25">
      <c r="A378">
        <v>377</v>
      </c>
      <c r="B378" t="s">
        <v>17</v>
      </c>
      <c r="C378" t="s">
        <v>18</v>
      </c>
      <c r="D378">
        <v>65</v>
      </c>
      <c r="E378">
        <v>1.7</v>
      </c>
      <c r="F378">
        <v>490</v>
      </c>
      <c r="G378">
        <v>17</v>
      </c>
      <c r="H378">
        <v>122</v>
      </c>
      <c r="I378">
        <v>51</v>
      </c>
      <c r="J378" t="s">
        <v>15</v>
      </c>
      <c r="K378">
        <v>1</v>
      </c>
    </row>
    <row r="379" spans="1:11" x14ac:dyDescent="0.25">
      <c r="A379">
        <v>378</v>
      </c>
      <c r="B379" t="s">
        <v>11</v>
      </c>
      <c r="C379" t="s">
        <v>12</v>
      </c>
      <c r="D379">
        <v>458</v>
      </c>
      <c r="E379">
        <v>6</v>
      </c>
      <c r="F379">
        <v>1875</v>
      </c>
      <c r="G379">
        <v>63</v>
      </c>
      <c r="H379">
        <v>1072</v>
      </c>
      <c r="I379">
        <v>31</v>
      </c>
      <c r="J379" t="s">
        <v>15</v>
      </c>
      <c r="K379">
        <v>4</v>
      </c>
    </row>
    <row r="380" spans="1:11" x14ac:dyDescent="0.25">
      <c r="A380">
        <v>379</v>
      </c>
      <c r="B380" t="s">
        <v>19</v>
      </c>
      <c r="C380" t="s">
        <v>12</v>
      </c>
      <c r="D380">
        <v>525</v>
      </c>
      <c r="E380">
        <v>10.8</v>
      </c>
      <c r="F380">
        <v>2445</v>
      </c>
      <c r="G380">
        <v>99</v>
      </c>
      <c r="H380">
        <v>1623</v>
      </c>
      <c r="I380">
        <v>57</v>
      </c>
      <c r="J380" t="s">
        <v>13</v>
      </c>
      <c r="K380">
        <v>5</v>
      </c>
    </row>
    <row r="381" spans="1:11" x14ac:dyDescent="0.25">
      <c r="A381">
        <v>380</v>
      </c>
      <c r="B381" t="s">
        <v>14</v>
      </c>
      <c r="C381" t="s">
        <v>12</v>
      </c>
      <c r="D381">
        <v>106</v>
      </c>
      <c r="E381">
        <v>3</v>
      </c>
      <c r="F381">
        <v>922</v>
      </c>
      <c r="G381">
        <v>22</v>
      </c>
      <c r="H381">
        <v>313</v>
      </c>
      <c r="I381">
        <v>51</v>
      </c>
      <c r="J381" t="s">
        <v>13</v>
      </c>
      <c r="K381">
        <v>2</v>
      </c>
    </row>
    <row r="382" spans="1:11" x14ac:dyDescent="0.25">
      <c r="A382">
        <v>381</v>
      </c>
      <c r="B382" t="s">
        <v>17</v>
      </c>
      <c r="C382" t="s">
        <v>18</v>
      </c>
      <c r="D382">
        <v>188</v>
      </c>
      <c r="E382">
        <v>4.5999999999999996</v>
      </c>
      <c r="F382">
        <v>1767</v>
      </c>
      <c r="G382">
        <v>47</v>
      </c>
      <c r="H382">
        <v>653</v>
      </c>
      <c r="I382">
        <v>34</v>
      </c>
      <c r="J382" t="s">
        <v>13</v>
      </c>
      <c r="K382">
        <v>3</v>
      </c>
    </row>
    <row r="383" spans="1:11" x14ac:dyDescent="0.25">
      <c r="A383">
        <v>382</v>
      </c>
      <c r="B383" t="s">
        <v>17</v>
      </c>
      <c r="C383" t="s">
        <v>18</v>
      </c>
      <c r="D383">
        <v>493</v>
      </c>
      <c r="E383">
        <v>10.4</v>
      </c>
      <c r="F383">
        <v>2453</v>
      </c>
      <c r="G383">
        <v>99</v>
      </c>
      <c r="H383">
        <v>1813</v>
      </c>
      <c r="I383">
        <v>39</v>
      </c>
      <c r="J383" t="s">
        <v>13</v>
      </c>
      <c r="K383">
        <v>5</v>
      </c>
    </row>
    <row r="384" spans="1:11" x14ac:dyDescent="0.25">
      <c r="A384">
        <v>383</v>
      </c>
      <c r="B384" t="s">
        <v>14</v>
      </c>
      <c r="C384" t="s">
        <v>12</v>
      </c>
      <c r="D384">
        <v>84</v>
      </c>
      <c r="E384">
        <v>1.5</v>
      </c>
      <c r="F384">
        <v>373</v>
      </c>
      <c r="G384">
        <v>19</v>
      </c>
      <c r="H384">
        <v>299</v>
      </c>
      <c r="I384">
        <v>37</v>
      </c>
      <c r="J384" t="s">
        <v>15</v>
      </c>
      <c r="K384">
        <v>1</v>
      </c>
    </row>
    <row r="385" spans="1:11" x14ac:dyDescent="0.25">
      <c r="A385">
        <v>384</v>
      </c>
      <c r="B385" t="s">
        <v>14</v>
      </c>
      <c r="C385" t="s">
        <v>12</v>
      </c>
      <c r="D385">
        <v>104</v>
      </c>
      <c r="E385">
        <v>2.9</v>
      </c>
      <c r="F385">
        <v>653</v>
      </c>
      <c r="G385">
        <v>35</v>
      </c>
      <c r="H385">
        <v>322</v>
      </c>
      <c r="I385">
        <v>30</v>
      </c>
      <c r="J385" t="s">
        <v>13</v>
      </c>
      <c r="K385">
        <v>2</v>
      </c>
    </row>
    <row r="386" spans="1:11" x14ac:dyDescent="0.25">
      <c r="A386">
        <v>385</v>
      </c>
      <c r="B386" t="s">
        <v>19</v>
      </c>
      <c r="C386" t="s">
        <v>12</v>
      </c>
      <c r="D386">
        <v>102</v>
      </c>
      <c r="E386">
        <v>3</v>
      </c>
      <c r="F386">
        <v>890</v>
      </c>
      <c r="G386">
        <v>38</v>
      </c>
      <c r="H386">
        <v>548</v>
      </c>
      <c r="I386">
        <v>28</v>
      </c>
      <c r="J386" t="s">
        <v>13</v>
      </c>
      <c r="K386">
        <v>2</v>
      </c>
    </row>
    <row r="387" spans="1:11" x14ac:dyDescent="0.25">
      <c r="A387">
        <v>386</v>
      </c>
      <c r="B387" t="s">
        <v>17</v>
      </c>
      <c r="C387" t="s">
        <v>18</v>
      </c>
      <c r="D387">
        <v>349</v>
      </c>
      <c r="E387">
        <v>6.6</v>
      </c>
      <c r="F387">
        <v>2041</v>
      </c>
      <c r="G387">
        <v>78</v>
      </c>
      <c r="H387">
        <v>1096</v>
      </c>
      <c r="I387">
        <v>40</v>
      </c>
      <c r="J387" t="s">
        <v>15</v>
      </c>
      <c r="K387">
        <v>4</v>
      </c>
    </row>
    <row r="388" spans="1:11" x14ac:dyDescent="0.25">
      <c r="A388">
        <v>387</v>
      </c>
      <c r="B388" t="s">
        <v>14</v>
      </c>
      <c r="C388" t="s">
        <v>12</v>
      </c>
      <c r="D388">
        <v>98</v>
      </c>
      <c r="E388">
        <v>2</v>
      </c>
      <c r="F388">
        <v>925</v>
      </c>
      <c r="G388">
        <v>32</v>
      </c>
      <c r="H388">
        <v>457</v>
      </c>
      <c r="I388">
        <v>28</v>
      </c>
      <c r="J388" t="s">
        <v>13</v>
      </c>
      <c r="K388">
        <v>2</v>
      </c>
    </row>
    <row r="389" spans="1:11" x14ac:dyDescent="0.25">
      <c r="A389">
        <v>388</v>
      </c>
      <c r="B389" t="s">
        <v>19</v>
      </c>
      <c r="C389" t="s">
        <v>12</v>
      </c>
      <c r="D389">
        <v>72</v>
      </c>
      <c r="E389">
        <v>1.3</v>
      </c>
      <c r="F389">
        <v>461</v>
      </c>
      <c r="G389">
        <v>13</v>
      </c>
      <c r="H389">
        <v>199</v>
      </c>
      <c r="I389">
        <v>32</v>
      </c>
      <c r="J389" t="s">
        <v>13</v>
      </c>
      <c r="K389">
        <v>1</v>
      </c>
    </row>
    <row r="390" spans="1:11" x14ac:dyDescent="0.25">
      <c r="A390">
        <v>389</v>
      </c>
      <c r="B390" t="s">
        <v>16</v>
      </c>
      <c r="C390" t="s">
        <v>12</v>
      </c>
      <c r="D390">
        <v>563</v>
      </c>
      <c r="E390">
        <v>11.6</v>
      </c>
      <c r="F390">
        <v>2968</v>
      </c>
      <c r="G390">
        <v>92</v>
      </c>
      <c r="H390">
        <v>2191</v>
      </c>
      <c r="I390">
        <v>34</v>
      </c>
      <c r="J390" t="s">
        <v>15</v>
      </c>
      <c r="K390">
        <v>5</v>
      </c>
    </row>
    <row r="391" spans="1:11" x14ac:dyDescent="0.25">
      <c r="A391">
        <v>390</v>
      </c>
      <c r="B391" t="s">
        <v>16</v>
      </c>
      <c r="C391" t="s">
        <v>12</v>
      </c>
      <c r="D391">
        <v>119</v>
      </c>
      <c r="E391">
        <v>2.8</v>
      </c>
      <c r="F391">
        <v>775</v>
      </c>
      <c r="G391">
        <v>31</v>
      </c>
      <c r="H391">
        <v>313</v>
      </c>
      <c r="I391">
        <v>50</v>
      </c>
      <c r="J391" t="s">
        <v>15</v>
      </c>
      <c r="K391">
        <v>2</v>
      </c>
    </row>
    <row r="392" spans="1:11" x14ac:dyDescent="0.25">
      <c r="A392">
        <v>391</v>
      </c>
      <c r="B392" t="s">
        <v>14</v>
      </c>
      <c r="C392" t="s">
        <v>12</v>
      </c>
      <c r="D392">
        <v>311</v>
      </c>
      <c r="E392">
        <v>7.9</v>
      </c>
      <c r="F392">
        <v>2231</v>
      </c>
      <c r="G392">
        <v>69</v>
      </c>
      <c r="H392">
        <v>1021</v>
      </c>
      <c r="I392">
        <v>36</v>
      </c>
      <c r="J392" t="s">
        <v>13</v>
      </c>
      <c r="K392">
        <v>4</v>
      </c>
    </row>
    <row r="393" spans="1:11" x14ac:dyDescent="0.25">
      <c r="A393">
        <v>392</v>
      </c>
      <c r="B393" t="s">
        <v>14</v>
      </c>
      <c r="C393" t="s">
        <v>12</v>
      </c>
      <c r="D393">
        <v>337</v>
      </c>
      <c r="E393">
        <v>6.1</v>
      </c>
      <c r="F393">
        <v>1901</v>
      </c>
      <c r="G393">
        <v>76</v>
      </c>
      <c r="H393">
        <v>1359</v>
      </c>
      <c r="I393">
        <v>58</v>
      </c>
      <c r="J393" t="s">
        <v>13</v>
      </c>
      <c r="K393">
        <v>4</v>
      </c>
    </row>
    <row r="394" spans="1:11" x14ac:dyDescent="0.25">
      <c r="A394">
        <v>393</v>
      </c>
      <c r="B394" t="s">
        <v>19</v>
      </c>
      <c r="C394" t="s">
        <v>12</v>
      </c>
      <c r="D394">
        <v>168</v>
      </c>
      <c r="E394">
        <v>3.5</v>
      </c>
      <c r="F394">
        <v>1055</v>
      </c>
      <c r="G394">
        <v>29</v>
      </c>
      <c r="H394">
        <v>313</v>
      </c>
      <c r="I394">
        <v>54</v>
      </c>
      <c r="J394" t="s">
        <v>13</v>
      </c>
      <c r="K394">
        <v>2</v>
      </c>
    </row>
    <row r="395" spans="1:11" x14ac:dyDescent="0.25">
      <c r="A395">
        <v>394</v>
      </c>
      <c r="B395" t="s">
        <v>17</v>
      </c>
      <c r="C395" t="s">
        <v>18</v>
      </c>
      <c r="D395">
        <v>331</v>
      </c>
      <c r="E395">
        <v>7.4</v>
      </c>
      <c r="F395">
        <v>2129</v>
      </c>
      <c r="G395">
        <v>66</v>
      </c>
      <c r="H395">
        <v>1459</v>
      </c>
      <c r="I395">
        <v>53</v>
      </c>
      <c r="J395" t="s">
        <v>13</v>
      </c>
      <c r="K395">
        <v>4</v>
      </c>
    </row>
    <row r="396" spans="1:11" x14ac:dyDescent="0.25">
      <c r="A396">
        <v>395</v>
      </c>
      <c r="B396" t="s">
        <v>11</v>
      </c>
      <c r="C396" t="s">
        <v>12</v>
      </c>
      <c r="D396">
        <v>589</v>
      </c>
      <c r="E396">
        <v>9.1999999999999993</v>
      </c>
      <c r="F396">
        <v>2663</v>
      </c>
      <c r="G396">
        <v>84</v>
      </c>
      <c r="H396">
        <v>1774</v>
      </c>
      <c r="I396">
        <v>45</v>
      </c>
      <c r="J396" t="s">
        <v>15</v>
      </c>
      <c r="K396">
        <v>5</v>
      </c>
    </row>
    <row r="397" spans="1:11" x14ac:dyDescent="0.25">
      <c r="A397">
        <v>396</v>
      </c>
      <c r="B397" t="s">
        <v>16</v>
      </c>
      <c r="C397" t="s">
        <v>12</v>
      </c>
      <c r="D397">
        <v>472</v>
      </c>
      <c r="E397">
        <v>6.8</v>
      </c>
      <c r="F397">
        <v>2288</v>
      </c>
      <c r="G397">
        <v>61</v>
      </c>
      <c r="H397">
        <v>1356</v>
      </c>
      <c r="I397">
        <v>52</v>
      </c>
      <c r="J397" t="s">
        <v>13</v>
      </c>
      <c r="K397">
        <v>4</v>
      </c>
    </row>
    <row r="398" spans="1:11" x14ac:dyDescent="0.25">
      <c r="A398">
        <v>397</v>
      </c>
      <c r="B398" t="s">
        <v>16</v>
      </c>
      <c r="C398" t="s">
        <v>12</v>
      </c>
      <c r="D398">
        <v>78</v>
      </c>
      <c r="E398">
        <v>1.1000000000000001</v>
      </c>
      <c r="F398">
        <v>437</v>
      </c>
      <c r="G398">
        <v>14</v>
      </c>
      <c r="H398">
        <v>143</v>
      </c>
      <c r="I398">
        <v>27</v>
      </c>
      <c r="J398" t="s">
        <v>15</v>
      </c>
      <c r="K398">
        <v>1</v>
      </c>
    </row>
    <row r="399" spans="1:11" x14ac:dyDescent="0.25">
      <c r="A399">
        <v>398</v>
      </c>
      <c r="B399" t="s">
        <v>17</v>
      </c>
      <c r="C399" t="s">
        <v>18</v>
      </c>
      <c r="D399">
        <v>517</v>
      </c>
      <c r="E399">
        <v>11.6</v>
      </c>
      <c r="F399">
        <v>2798</v>
      </c>
      <c r="G399">
        <v>90</v>
      </c>
      <c r="H399">
        <v>2175</v>
      </c>
      <c r="I399">
        <v>20</v>
      </c>
      <c r="J399" t="s">
        <v>13</v>
      </c>
      <c r="K399">
        <v>5</v>
      </c>
    </row>
    <row r="400" spans="1:11" x14ac:dyDescent="0.25">
      <c r="A400">
        <v>399</v>
      </c>
      <c r="B400" t="s">
        <v>14</v>
      </c>
      <c r="C400" t="s">
        <v>12</v>
      </c>
      <c r="D400">
        <v>41</v>
      </c>
      <c r="E400">
        <v>1.6</v>
      </c>
      <c r="F400">
        <v>323</v>
      </c>
      <c r="G400">
        <v>18</v>
      </c>
      <c r="H400">
        <v>221</v>
      </c>
      <c r="I400">
        <v>43</v>
      </c>
      <c r="J400" t="s">
        <v>15</v>
      </c>
      <c r="K400">
        <v>1</v>
      </c>
    </row>
    <row r="401" spans="1:11" x14ac:dyDescent="0.25">
      <c r="A401">
        <v>400</v>
      </c>
      <c r="B401" t="s">
        <v>14</v>
      </c>
      <c r="C401" t="s">
        <v>12</v>
      </c>
      <c r="D401">
        <v>49</v>
      </c>
      <c r="E401">
        <v>1.5</v>
      </c>
      <c r="F401">
        <v>571</v>
      </c>
      <c r="G401">
        <v>10</v>
      </c>
      <c r="H401">
        <v>203</v>
      </c>
      <c r="I401">
        <v>29</v>
      </c>
      <c r="J401" t="s">
        <v>13</v>
      </c>
      <c r="K401">
        <v>1</v>
      </c>
    </row>
    <row r="402" spans="1:11" x14ac:dyDescent="0.25">
      <c r="A402">
        <v>401</v>
      </c>
      <c r="B402" t="s">
        <v>16</v>
      </c>
      <c r="C402" t="s">
        <v>12</v>
      </c>
      <c r="D402">
        <v>522</v>
      </c>
      <c r="E402">
        <v>11.1</v>
      </c>
      <c r="F402">
        <v>2821</v>
      </c>
      <c r="G402">
        <v>86</v>
      </c>
      <c r="H402">
        <v>1891</v>
      </c>
      <c r="I402">
        <v>42</v>
      </c>
      <c r="J402" t="s">
        <v>13</v>
      </c>
      <c r="K402">
        <v>5</v>
      </c>
    </row>
    <row r="403" spans="1:11" x14ac:dyDescent="0.25">
      <c r="A403">
        <v>402</v>
      </c>
      <c r="B403" t="s">
        <v>11</v>
      </c>
      <c r="C403" t="s">
        <v>12</v>
      </c>
      <c r="D403">
        <v>97</v>
      </c>
      <c r="E403">
        <v>2.7</v>
      </c>
      <c r="F403">
        <v>612</v>
      </c>
      <c r="G403">
        <v>36</v>
      </c>
      <c r="H403">
        <v>508</v>
      </c>
      <c r="I403">
        <v>53</v>
      </c>
      <c r="J403" t="s">
        <v>13</v>
      </c>
      <c r="K403">
        <v>2</v>
      </c>
    </row>
    <row r="404" spans="1:11" x14ac:dyDescent="0.25">
      <c r="A404">
        <v>403</v>
      </c>
      <c r="B404" t="s">
        <v>17</v>
      </c>
      <c r="C404" t="s">
        <v>18</v>
      </c>
      <c r="D404">
        <v>411</v>
      </c>
      <c r="E404">
        <v>7.4</v>
      </c>
      <c r="F404">
        <v>1960</v>
      </c>
      <c r="G404">
        <v>71</v>
      </c>
      <c r="H404">
        <v>1264</v>
      </c>
      <c r="I404">
        <v>40</v>
      </c>
      <c r="J404" t="s">
        <v>13</v>
      </c>
      <c r="K404">
        <v>4</v>
      </c>
    </row>
    <row r="405" spans="1:11" x14ac:dyDescent="0.25">
      <c r="A405">
        <v>404</v>
      </c>
      <c r="B405" t="s">
        <v>19</v>
      </c>
      <c r="C405" t="s">
        <v>12</v>
      </c>
      <c r="D405">
        <v>566</v>
      </c>
      <c r="E405">
        <v>8.6</v>
      </c>
      <c r="F405">
        <v>2595</v>
      </c>
      <c r="G405">
        <v>89</v>
      </c>
      <c r="H405">
        <v>1657</v>
      </c>
      <c r="I405">
        <v>51</v>
      </c>
      <c r="J405" t="s">
        <v>15</v>
      </c>
      <c r="K405">
        <v>5</v>
      </c>
    </row>
    <row r="406" spans="1:11" x14ac:dyDescent="0.25">
      <c r="A406">
        <v>405</v>
      </c>
      <c r="B406" t="s">
        <v>17</v>
      </c>
      <c r="C406" t="s">
        <v>18</v>
      </c>
      <c r="D406">
        <v>559</v>
      </c>
      <c r="E406">
        <v>8.1999999999999993</v>
      </c>
      <c r="F406">
        <v>2618</v>
      </c>
      <c r="G406">
        <v>84</v>
      </c>
      <c r="H406">
        <v>2102</v>
      </c>
      <c r="I406">
        <v>22</v>
      </c>
      <c r="J406" t="s">
        <v>15</v>
      </c>
      <c r="K406">
        <v>5</v>
      </c>
    </row>
    <row r="407" spans="1:11" x14ac:dyDescent="0.25">
      <c r="A407">
        <v>406</v>
      </c>
      <c r="B407" t="s">
        <v>11</v>
      </c>
      <c r="C407" t="s">
        <v>12</v>
      </c>
      <c r="D407">
        <v>478</v>
      </c>
      <c r="E407">
        <v>7.3</v>
      </c>
      <c r="F407">
        <v>2340</v>
      </c>
      <c r="G407">
        <v>69</v>
      </c>
      <c r="H407">
        <v>1017</v>
      </c>
      <c r="I407">
        <v>43</v>
      </c>
      <c r="J407" t="s">
        <v>15</v>
      </c>
      <c r="K407">
        <v>4</v>
      </c>
    </row>
    <row r="408" spans="1:11" x14ac:dyDescent="0.25">
      <c r="A408">
        <v>407</v>
      </c>
      <c r="B408" t="s">
        <v>16</v>
      </c>
      <c r="C408" t="s">
        <v>12</v>
      </c>
      <c r="D408">
        <v>147</v>
      </c>
      <c r="E408">
        <v>3.2</v>
      </c>
      <c r="F408">
        <v>994</v>
      </c>
      <c r="G408">
        <v>33</v>
      </c>
      <c r="H408">
        <v>567</v>
      </c>
      <c r="I408">
        <v>25</v>
      </c>
      <c r="J408" t="s">
        <v>15</v>
      </c>
      <c r="K408">
        <v>2</v>
      </c>
    </row>
    <row r="409" spans="1:11" x14ac:dyDescent="0.25">
      <c r="A409">
        <v>408</v>
      </c>
      <c r="B409" t="s">
        <v>14</v>
      </c>
      <c r="C409" t="s">
        <v>12</v>
      </c>
      <c r="D409">
        <v>395</v>
      </c>
      <c r="E409">
        <v>7.3</v>
      </c>
      <c r="F409">
        <v>2291</v>
      </c>
      <c r="G409">
        <v>61</v>
      </c>
      <c r="H409">
        <v>1049</v>
      </c>
      <c r="I409">
        <v>55</v>
      </c>
      <c r="J409" t="s">
        <v>15</v>
      </c>
      <c r="K409">
        <v>4</v>
      </c>
    </row>
    <row r="410" spans="1:11" x14ac:dyDescent="0.25">
      <c r="A410">
        <v>409</v>
      </c>
      <c r="B410" t="s">
        <v>19</v>
      </c>
      <c r="C410" t="s">
        <v>12</v>
      </c>
      <c r="D410">
        <v>357</v>
      </c>
      <c r="E410">
        <v>7.8</v>
      </c>
      <c r="F410">
        <v>2289</v>
      </c>
      <c r="G410">
        <v>74</v>
      </c>
      <c r="H410">
        <v>1242</v>
      </c>
      <c r="I410">
        <v>22</v>
      </c>
      <c r="J410" t="s">
        <v>15</v>
      </c>
      <c r="K410">
        <v>4</v>
      </c>
    </row>
    <row r="411" spans="1:11" x14ac:dyDescent="0.25">
      <c r="A411">
        <v>410</v>
      </c>
      <c r="B411" t="s">
        <v>11</v>
      </c>
      <c r="C411" t="s">
        <v>12</v>
      </c>
      <c r="D411">
        <v>405</v>
      </c>
      <c r="E411">
        <v>6.9</v>
      </c>
      <c r="F411">
        <v>2366</v>
      </c>
      <c r="G411">
        <v>61</v>
      </c>
      <c r="H411">
        <v>1434</v>
      </c>
      <c r="I411">
        <v>51</v>
      </c>
      <c r="J411" t="s">
        <v>13</v>
      </c>
      <c r="K411">
        <v>4</v>
      </c>
    </row>
    <row r="412" spans="1:11" x14ac:dyDescent="0.25">
      <c r="A412">
        <v>411</v>
      </c>
      <c r="B412" t="s">
        <v>19</v>
      </c>
      <c r="C412" t="s">
        <v>12</v>
      </c>
      <c r="D412">
        <v>501</v>
      </c>
      <c r="E412">
        <v>11.8</v>
      </c>
      <c r="F412">
        <v>2790</v>
      </c>
      <c r="G412">
        <v>86</v>
      </c>
      <c r="H412">
        <v>2074</v>
      </c>
      <c r="I412">
        <v>31</v>
      </c>
      <c r="J412" t="s">
        <v>15</v>
      </c>
      <c r="K412">
        <v>5</v>
      </c>
    </row>
    <row r="413" spans="1:11" x14ac:dyDescent="0.25">
      <c r="A413">
        <v>412</v>
      </c>
      <c r="B413" t="s">
        <v>16</v>
      </c>
      <c r="C413" t="s">
        <v>12</v>
      </c>
      <c r="D413">
        <v>575</v>
      </c>
      <c r="E413">
        <v>8.1999999999999993</v>
      </c>
      <c r="F413">
        <v>2918</v>
      </c>
      <c r="G413">
        <v>88</v>
      </c>
      <c r="H413">
        <v>1928</v>
      </c>
      <c r="I413">
        <v>50</v>
      </c>
      <c r="J413" t="s">
        <v>13</v>
      </c>
      <c r="K413">
        <v>5</v>
      </c>
    </row>
    <row r="414" spans="1:11" x14ac:dyDescent="0.25">
      <c r="A414">
        <v>413</v>
      </c>
      <c r="B414" t="s">
        <v>14</v>
      </c>
      <c r="C414" t="s">
        <v>12</v>
      </c>
      <c r="D414">
        <v>257</v>
      </c>
      <c r="E414">
        <v>5.0999999999999996</v>
      </c>
      <c r="F414">
        <v>1692</v>
      </c>
      <c r="G414">
        <v>46</v>
      </c>
      <c r="H414">
        <v>769</v>
      </c>
      <c r="I414">
        <v>52</v>
      </c>
      <c r="J414" t="s">
        <v>15</v>
      </c>
      <c r="K414">
        <v>3</v>
      </c>
    </row>
    <row r="415" spans="1:11" x14ac:dyDescent="0.25">
      <c r="A415">
        <v>414</v>
      </c>
      <c r="B415" t="s">
        <v>17</v>
      </c>
      <c r="C415" t="s">
        <v>18</v>
      </c>
      <c r="D415">
        <v>270</v>
      </c>
      <c r="E415">
        <v>5</v>
      </c>
      <c r="F415">
        <v>1532</v>
      </c>
      <c r="G415">
        <v>51</v>
      </c>
      <c r="H415">
        <v>957</v>
      </c>
      <c r="I415">
        <v>35</v>
      </c>
      <c r="J415" t="s">
        <v>13</v>
      </c>
      <c r="K415">
        <v>3</v>
      </c>
    </row>
    <row r="416" spans="1:11" x14ac:dyDescent="0.25">
      <c r="A416">
        <v>415</v>
      </c>
      <c r="B416" t="s">
        <v>11</v>
      </c>
      <c r="C416" t="s">
        <v>12</v>
      </c>
      <c r="D416">
        <v>116</v>
      </c>
      <c r="E416">
        <v>2</v>
      </c>
      <c r="F416">
        <v>1171</v>
      </c>
      <c r="G416">
        <v>22</v>
      </c>
      <c r="H416">
        <v>573</v>
      </c>
      <c r="I416">
        <v>33</v>
      </c>
      <c r="J416" t="s">
        <v>15</v>
      </c>
      <c r="K416">
        <v>2</v>
      </c>
    </row>
    <row r="417" spans="1:11" x14ac:dyDescent="0.25">
      <c r="A417">
        <v>416</v>
      </c>
      <c r="B417" t="s">
        <v>17</v>
      </c>
      <c r="C417" t="s">
        <v>18</v>
      </c>
      <c r="D417">
        <v>98</v>
      </c>
      <c r="E417">
        <v>2.2999999999999998</v>
      </c>
      <c r="F417">
        <v>608</v>
      </c>
      <c r="G417">
        <v>24</v>
      </c>
      <c r="H417">
        <v>394</v>
      </c>
      <c r="I417">
        <v>56</v>
      </c>
      <c r="J417" t="s">
        <v>13</v>
      </c>
      <c r="K417">
        <v>2</v>
      </c>
    </row>
    <row r="418" spans="1:11" x14ac:dyDescent="0.25">
      <c r="A418">
        <v>417</v>
      </c>
      <c r="B418" t="s">
        <v>16</v>
      </c>
      <c r="C418" t="s">
        <v>12</v>
      </c>
      <c r="D418">
        <v>264</v>
      </c>
      <c r="E418">
        <v>5.0999999999999996</v>
      </c>
      <c r="F418">
        <v>1293</v>
      </c>
      <c r="G418">
        <v>52</v>
      </c>
      <c r="H418">
        <v>737</v>
      </c>
      <c r="I418">
        <v>27</v>
      </c>
      <c r="J418" t="s">
        <v>15</v>
      </c>
      <c r="K418">
        <v>3</v>
      </c>
    </row>
    <row r="419" spans="1:11" x14ac:dyDescent="0.25">
      <c r="A419">
        <v>418</v>
      </c>
      <c r="B419" t="s">
        <v>19</v>
      </c>
      <c r="C419" t="s">
        <v>12</v>
      </c>
      <c r="D419">
        <v>572</v>
      </c>
      <c r="E419">
        <v>11.7</v>
      </c>
      <c r="F419">
        <v>2655</v>
      </c>
      <c r="G419">
        <v>91</v>
      </c>
      <c r="H419">
        <v>2481</v>
      </c>
      <c r="I419">
        <v>57</v>
      </c>
      <c r="J419" t="s">
        <v>15</v>
      </c>
      <c r="K419">
        <v>5</v>
      </c>
    </row>
    <row r="420" spans="1:11" x14ac:dyDescent="0.25">
      <c r="A420">
        <v>419</v>
      </c>
      <c r="B420" t="s">
        <v>16</v>
      </c>
      <c r="C420" t="s">
        <v>12</v>
      </c>
      <c r="D420">
        <v>202</v>
      </c>
      <c r="E420">
        <v>4.9000000000000004</v>
      </c>
      <c r="F420">
        <v>1549</v>
      </c>
      <c r="G420">
        <v>43</v>
      </c>
      <c r="H420">
        <v>964</v>
      </c>
      <c r="I420">
        <v>27</v>
      </c>
      <c r="J420" t="s">
        <v>15</v>
      </c>
      <c r="K420">
        <v>3</v>
      </c>
    </row>
    <row r="421" spans="1:11" x14ac:dyDescent="0.25">
      <c r="A421">
        <v>420</v>
      </c>
      <c r="B421" t="s">
        <v>17</v>
      </c>
      <c r="C421" t="s">
        <v>18</v>
      </c>
      <c r="D421">
        <v>83</v>
      </c>
      <c r="E421">
        <v>1.4</v>
      </c>
      <c r="F421">
        <v>454</v>
      </c>
      <c r="G421">
        <v>11</v>
      </c>
      <c r="H421">
        <v>228</v>
      </c>
      <c r="I421">
        <v>46</v>
      </c>
      <c r="J421" t="s">
        <v>13</v>
      </c>
      <c r="K421">
        <v>1</v>
      </c>
    </row>
    <row r="422" spans="1:11" x14ac:dyDescent="0.25">
      <c r="A422">
        <v>421</v>
      </c>
      <c r="B422" t="s">
        <v>17</v>
      </c>
      <c r="C422" t="s">
        <v>18</v>
      </c>
      <c r="D422">
        <v>32</v>
      </c>
      <c r="E422">
        <v>1.4</v>
      </c>
      <c r="F422">
        <v>416</v>
      </c>
      <c r="G422">
        <v>12</v>
      </c>
      <c r="H422">
        <v>198</v>
      </c>
      <c r="I422">
        <v>56</v>
      </c>
      <c r="J422" t="s">
        <v>13</v>
      </c>
      <c r="K422">
        <v>1</v>
      </c>
    </row>
    <row r="423" spans="1:11" x14ac:dyDescent="0.25">
      <c r="A423">
        <v>422</v>
      </c>
      <c r="B423" t="s">
        <v>17</v>
      </c>
      <c r="C423" t="s">
        <v>18</v>
      </c>
      <c r="D423">
        <v>168</v>
      </c>
      <c r="E423">
        <v>3.2</v>
      </c>
      <c r="F423">
        <v>716</v>
      </c>
      <c r="G423">
        <v>38</v>
      </c>
      <c r="H423">
        <v>414</v>
      </c>
      <c r="I423">
        <v>43</v>
      </c>
      <c r="J423" t="s">
        <v>13</v>
      </c>
      <c r="K423">
        <v>2</v>
      </c>
    </row>
    <row r="424" spans="1:11" x14ac:dyDescent="0.25">
      <c r="A424">
        <v>423</v>
      </c>
      <c r="B424" t="s">
        <v>17</v>
      </c>
      <c r="C424" t="s">
        <v>18</v>
      </c>
      <c r="D424">
        <v>416</v>
      </c>
      <c r="E424">
        <v>6.1</v>
      </c>
      <c r="F424">
        <v>2115</v>
      </c>
      <c r="G424">
        <v>71</v>
      </c>
      <c r="H424">
        <v>1041</v>
      </c>
      <c r="I424">
        <v>22</v>
      </c>
      <c r="J424" t="s">
        <v>15</v>
      </c>
      <c r="K424">
        <v>4</v>
      </c>
    </row>
    <row r="425" spans="1:11" x14ac:dyDescent="0.25">
      <c r="A425">
        <v>424</v>
      </c>
      <c r="B425" t="s">
        <v>16</v>
      </c>
      <c r="C425" t="s">
        <v>12</v>
      </c>
      <c r="D425">
        <v>46</v>
      </c>
      <c r="E425">
        <v>1.1000000000000001</v>
      </c>
      <c r="F425">
        <v>536</v>
      </c>
      <c r="G425">
        <v>18</v>
      </c>
      <c r="H425">
        <v>167</v>
      </c>
      <c r="I425">
        <v>28</v>
      </c>
      <c r="J425" t="s">
        <v>15</v>
      </c>
      <c r="K425">
        <v>1</v>
      </c>
    </row>
    <row r="426" spans="1:11" x14ac:dyDescent="0.25">
      <c r="A426">
        <v>425</v>
      </c>
      <c r="B426" t="s">
        <v>14</v>
      </c>
      <c r="C426" t="s">
        <v>12</v>
      </c>
      <c r="D426">
        <v>201</v>
      </c>
      <c r="E426">
        <v>5</v>
      </c>
      <c r="F426">
        <v>1482</v>
      </c>
      <c r="G426">
        <v>59</v>
      </c>
      <c r="H426">
        <v>709</v>
      </c>
      <c r="I426">
        <v>24</v>
      </c>
      <c r="J426" t="s">
        <v>13</v>
      </c>
      <c r="K426">
        <v>3</v>
      </c>
    </row>
    <row r="427" spans="1:11" x14ac:dyDescent="0.25">
      <c r="A427">
        <v>426</v>
      </c>
      <c r="B427" t="s">
        <v>19</v>
      </c>
      <c r="C427" t="s">
        <v>12</v>
      </c>
      <c r="D427">
        <v>130</v>
      </c>
      <c r="E427">
        <v>2.8</v>
      </c>
      <c r="F427">
        <v>1062</v>
      </c>
      <c r="G427">
        <v>24</v>
      </c>
      <c r="H427">
        <v>579</v>
      </c>
      <c r="I427">
        <v>37</v>
      </c>
      <c r="J427" t="s">
        <v>13</v>
      </c>
      <c r="K427">
        <v>2</v>
      </c>
    </row>
    <row r="428" spans="1:11" x14ac:dyDescent="0.25">
      <c r="A428">
        <v>427</v>
      </c>
      <c r="B428" t="s">
        <v>14</v>
      </c>
      <c r="C428" t="s">
        <v>12</v>
      </c>
      <c r="D428">
        <v>98</v>
      </c>
      <c r="E428">
        <v>2.4</v>
      </c>
      <c r="F428">
        <v>747</v>
      </c>
      <c r="G428">
        <v>36</v>
      </c>
      <c r="H428">
        <v>403</v>
      </c>
      <c r="I428">
        <v>44</v>
      </c>
      <c r="J428" t="s">
        <v>15</v>
      </c>
      <c r="K428">
        <v>2</v>
      </c>
    </row>
    <row r="429" spans="1:11" x14ac:dyDescent="0.25">
      <c r="A429">
        <v>428</v>
      </c>
      <c r="B429" t="s">
        <v>14</v>
      </c>
      <c r="C429" t="s">
        <v>12</v>
      </c>
      <c r="D429">
        <v>105</v>
      </c>
      <c r="E429">
        <v>3.8</v>
      </c>
      <c r="F429">
        <v>967</v>
      </c>
      <c r="G429">
        <v>28</v>
      </c>
      <c r="H429">
        <v>489</v>
      </c>
      <c r="I429">
        <v>51</v>
      </c>
      <c r="J429" t="s">
        <v>13</v>
      </c>
      <c r="K429">
        <v>2</v>
      </c>
    </row>
    <row r="430" spans="1:11" x14ac:dyDescent="0.25">
      <c r="A430">
        <v>429</v>
      </c>
      <c r="B430" t="s">
        <v>16</v>
      </c>
      <c r="C430" t="s">
        <v>12</v>
      </c>
      <c r="D430">
        <v>94</v>
      </c>
      <c r="E430">
        <v>2.2999999999999998</v>
      </c>
      <c r="F430">
        <v>1033</v>
      </c>
      <c r="G430">
        <v>33</v>
      </c>
      <c r="H430">
        <v>369</v>
      </c>
      <c r="I430">
        <v>58</v>
      </c>
      <c r="J430" t="s">
        <v>13</v>
      </c>
      <c r="K430">
        <v>2</v>
      </c>
    </row>
    <row r="431" spans="1:11" x14ac:dyDescent="0.25">
      <c r="A431">
        <v>430</v>
      </c>
      <c r="B431" t="s">
        <v>16</v>
      </c>
      <c r="C431" t="s">
        <v>12</v>
      </c>
      <c r="D431">
        <v>540</v>
      </c>
      <c r="E431">
        <v>10.1</v>
      </c>
      <c r="F431">
        <v>2757</v>
      </c>
      <c r="G431">
        <v>90</v>
      </c>
      <c r="H431">
        <v>2180</v>
      </c>
      <c r="I431">
        <v>37</v>
      </c>
      <c r="J431" t="s">
        <v>13</v>
      </c>
      <c r="K431">
        <v>5</v>
      </c>
    </row>
    <row r="432" spans="1:11" x14ac:dyDescent="0.25">
      <c r="A432">
        <v>431</v>
      </c>
      <c r="B432" t="s">
        <v>17</v>
      </c>
      <c r="C432" t="s">
        <v>18</v>
      </c>
      <c r="D432">
        <v>266</v>
      </c>
      <c r="E432">
        <v>5.5</v>
      </c>
      <c r="F432">
        <v>1238</v>
      </c>
      <c r="G432">
        <v>59</v>
      </c>
      <c r="H432">
        <v>839</v>
      </c>
      <c r="I432">
        <v>22</v>
      </c>
      <c r="J432" t="s">
        <v>13</v>
      </c>
      <c r="K432">
        <v>3</v>
      </c>
    </row>
    <row r="433" spans="1:11" x14ac:dyDescent="0.25">
      <c r="A433">
        <v>432</v>
      </c>
      <c r="B433" t="s">
        <v>17</v>
      </c>
      <c r="C433" t="s">
        <v>18</v>
      </c>
      <c r="D433">
        <v>140</v>
      </c>
      <c r="E433">
        <v>3.8</v>
      </c>
      <c r="F433">
        <v>1137</v>
      </c>
      <c r="G433">
        <v>36</v>
      </c>
      <c r="H433">
        <v>506</v>
      </c>
      <c r="I433">
        <v>53</v>
      </c>
      <c r="J433" t="s">
        <v>13</v>
      </c>
      <c r="K433">
        <v>2</v>
      </c>
    </row>
    <row r="434" spans="1:11" x14ac:dyDescent="0.25">
      <c r="A434">
        <v>433</v>
      </c>
      <c r="B434" t="s">
        <v>11</v>
      </c>
      <c r="C434" t="s">
        <v>12</v>
      </c>
      <c r="D434">
        <v>534</v>
      </c>
      <c r="E434">
        <v>10.4</v>
      </c>
      <c r="F434">
        <v>2672</v>
      </c>
      <c r="G434">
        <v>90</v>
      </c>
      <c r="H434">
        <v>1702</v>
      </c>
      <c r="I434">
        <v>51</v>
      </c>
      <c r="J434" t="s">
        <v>13</v>
      </c>
      <c r="K434">
        <v>5</v>
      </c>
    </row>
    <row r="435" spans="1:11" x14ac:dyDescent="0.25">
      <c r="A435">
        <v>434</v>
      </c>
      <c r="B435" t="s">
        <v>14</v>
      </c>
      <c r="C435" t="s">
        <v>12</v>
      </c>
      <c r="D435">
        <v>46</v>
      </c>
      <c r="E435">
        <v>2</v>
      </c>
      <c r="F435">
        <v>309</v>
      </c>
      <c r="G435">
        <v>15</v>
      </c>
      <c r="H435">
        <v>116</v>
      </c>
      <c r="I435">
        <v>42</v>
      </c>
      <c r="J435" t="s">
        <v>13</v>
      </c>
      <c r="K435">
        <v>1</v>
      </c>
    </row>
    <row r="436" spans="1:11" x14ac:dyDescent="0.25">
      <c r="A436">
        <v>435</v>
      </c>
      <c r="B436" t="s">
        <v>17</v>
      </c>
      <c r="C436" t="s">
        <v>18</v>
      </c>
      <c r="D436">
        <v>581</v>
      </c>
      <c r="E436">
        <v>8.4</v>
      </c>
      <c r="F436">
        <v>2591</v>
      </c>
      <c r="G436">
        <v>99</v>
      </c>
      <c r="H436">
        <v>2304</v>
      </c>
      <c r="I436">
        <v>58</v>
      </c>
      <c r="J436" t="s">
        <v>13</v>
      </c>
      <c r="K436">
        <v>5</v>
      </c>
    </row>
    <row r="437" spans="1:11" x14ac:dyDescent="0.25">
      <c r="A437">
        <v>436</v>
      </c>
      <c r="B437" t="s">
        <v>16</v>
      </c>
      <c r="C437" t="s">
        <v>12</v>
      </c>
      <c r="D437">
        <v>105</v>
      </c>
      <c r="E437">
        <v>3.4</v>
      </c>
      <c r="F437">
        <v>798</v>
      </c>
      <c r="G437">
        <v>21</v>
      </c>
      <c r="H437">
        <v>467</v>
      </c>
      <c r="I437">
        <v>34</v>
      </c>
      <c r="J437" t="s">
        <v>15</v>
      </c>
      <c r="K437">
        <v>2</v>
      </c>
    </row>
    <row r="438" spans="1:11" x14ac:dyDescent="0.25">
      <c r="A438">
        <v>437</v>
      </c>
      <c r="B438" t="s">
        <v>14</v>
      </c>
      <c r="C438" t="s">
        <v>12</v>
      </c>
      <c r="D438">
        <v>221</v>
      </c>
      <c r="E438">
        <v>4.4000000000000004</v>
      </c>
      <c r="F438">
        <v>1341</v>
      </c>
      <c r="G438">
        <v>46</v>
      </c>
      <c r="H438">
        <v>862</v>
      </c>
      <c r="I438">
        <v>20</v>
      </c>
      <c r="J438" t="s">
        <v>13</v>
      </c>
      <c r="K438">
        <v>3</v>
      </c>
    </row>
    <row r="439" spans="1:11" x14ac:dyDescent="0.25">
      <c r="A439">
        <v>438</v>
      </c>
      <c r="B439" t="s">
        <v>17</v>
      </c>
      <c r="C439" t="s">
        <v>18</v>
      </c>
      <c r="D439">
        <v>41</v>
      </c>
      <c r="E439">
        <v>1.7</v>
      </c>
      <c r="F439">
        <v>408</v>
      </c>
      <c r="G439">
        <v>16</v>
      </c>
      <c r="H439">
        <v>291</v>
      </c>
      <c r="I439">
        <v>34</v>
      </c>
      <c r="J439" t="s">
        <v>13</v>
      </c>
      <c r="K439">
        <v>1</v>
      </c>
    </row>
    <row r="440" spans="1:11" x14ac:dyDescent="0.25">
      <c r="A440">
        <v>439</v>
      </c>
      <c r="B440" t="s">
        <v>14</v>
      </c>
      <c r="C440" t="s">
        <v>12</v>
      </c>
      <c r="D440">
        <v>105</v>
      </c>
      <c r="E440">
        <v>3</v>
      </c>
      <c r="F440">
        <v>728</v>
      </c>
      <c r="G440">
        <v>24</v>
      </c>
      <c r="H440">
        <v>343</v>
      </c>
      <c r="I440">
        <v>52</v>
      </c>
      <c r="J440" t="s">
        <v>15</v>
      </c>
      <c r="K440">
        <v>2</v>
      </c>
    </row>
    <row r="441" spans="1:11" x14ac:dyDescent="0.25">
      <c r="A441">
        <v>440</v>
      </c>
      <c r="B441" t="s">
        <v>11</v>
      </c>
      <c r="C441" t="s">
        <v>12</v>
      </c>
      <c r="D441">
        <v>123</v>
      </c>
      <c r="E441">
        <v>3.9</v>
      </c>
      <c r="F441">
        <v>915</v>
      </c>
      <c r="G441">
        <v>39</v>
      </c>
      <c r="H441">
        <v>468</v>
      </c>
      <c r="I441">
        <v>18</v>
      </c>
      <c r="J441" t="s">
        <v>13</v>
      </c>
      <c r="K441">
        <v>2</v>
      </c>
    </row>
    <row r="442" spans="1:11" x14ac:dyDescent="0.25">
      <c r="A442">
        <v>441</v>
      </c>
      <c r="B442" t="s">
        <v>11</v>
      </c>
      <c r="C442" t="s">
        <v>12</v>
      </c>
      <c r="D442">
        <v>260</v>
      </c>
      <c r="E442">
        <v>5.7</v>
      </c>
      <c r="F442">
        <v>1725</v>
      </c>
      <c r="G442">
        <v>56</v>
      </c>
      <c r="H442">
        <v>920</v>
      </c>
      <c r="I442">
        <v>36</v>
      </c>
      <c r="J442" t="s">
        <v>15</v>
      </c>
      <c r="K442">
        <v>3</v>
      </c>
    </row>
    <row r="443" spans="1:11" x14ac:dyDescent="0.25">
      <c r="A443">
        <v>442</v>
      </c>
      <c r="B443" t="s">
        <v>19</v>
      </c>
      <c r="C443" t="s">
        <v>12</v>
      </c>
      <c r="D443">
        <v>223</v>
      </c>
      <c r="E443">
        <v>5.7</v>
      </c>
      <c r="F443">
        <v>1295</v>
      </c>
      <c r="G443">
        <v>44</v>
      </c>
      <c r="H443">
        <v>751</v>
      </c>
      <c r="I443">
        <v>39</v>
      </c>
      <c r="J443" t="s">
        <v>13</v>
      </c>
      <c r="K443">
        <v>3</v>
      </c>
    </row>
    <row r="444" spans="1:11" x14ac:dyDescent="0.25">
      <c r="A444">
        <v>443</v>
      </c>
      <c r="B444" t="s">
        <v>11</v>
      </c>
      <c r="C444" t="s">
        <v>12</v>
      </c>
      <c r="D444">
        <v>66</v>
      </c>
      <c r="E444">
        <v>1.1000000000000001</v>
      </c>
      <c r="F444">
        <v>505</v>
      </c>
      <c r="G444">
        <v>17</v>
      </c>
      <c r="H444">
        <v>218</v>
      </c>
      <c r="I444">
        <v>33</v>
      </c>
      <c r="J444" t="s">
        <v>13</v>
      </c>
      <c r="K444">
        <v>1</v>
      </c>
    </row>
    <row r="445" spans="1:11" x14ac:dyDescent="0.25">
      <c r="A445">
        <v>444</v>
      </c>
      <c r="B445" t="s">
        <v>17</v>
      </c>
      <c r="C445" t="s">
        <v>18</v>
      </c>
      <c r="D445">
        <v>231</v>
      </c>
      <c r="E445">
        <v>4</v>
      </c>
      <c r="F445">
        <v>1664</v>
      </c>
      <c r="G445">
        <v>48</v>
      </c>
      <c r="H445">
        <v>724</v>
      </c>
      <c r="I445">
        <v>29</v>
      </c>
      <c r="J445" t="s">
        <v>15</v>
      </c>
      <c r="K445">
        <v>3</v>
      </c>
    </row>
    <row r="446" spans="1:11" x14ac:dyDescent="0.25">
      <c r="A446">
        <v>445</v>
      </c>
      <c r="B446" t="s">
        <v>17</v>
      </c>
      <c r="C446" t="s">
        <v>18</v>
      </c>
      <c r="D446">
        <v>555</v>
      </c>
      <c r="E446">
        <v>8.8000000000000007</v>
      </c>
      <c r="F446">
        <v>2540</v>
      </c>
      <c r="G446">
        <v>97</v>
      </c>
      <c r="H446">
        <v>2402</v>
      </c>
      <c r="I446">
        <v>22</v>
      </c>
      <c r="J446" t="s">
        <v>13</v>
      </c>
      <c r="K446">
        <v>5</v>
      </c>
    </row>
    <row r="447" spans="1:11" x14ac:dyDescent="0.25">
      <c r="A447">
        <v>446</v>
      </c>
      <c r="B447" t="s">
        <v>19</v>
      </c>
      <c r="C447" t="s">
        <v>12</v>
      </c>
      <c r="D447">
        <v>378</v>
      </c>
      <c r="E447">
        <v>7.2</v>
      </c>
      <c r="F447">
        <v>1859</v>
      </c>
      <c r="G447">
        <v>61</v>
      </c>
      <c r="H447">
        <v>1318</v>
      </c>
      <c r="I447">
        <v>58</v>
      </c>
      <c r="J447" t="s">
        <v>13</v>
      </c>
      <c r="K447">
        <v>4</v>
      </c>
    </row>
    <row r="448" spans="1:11" x14ac:dyDescent="0.25">
      <c r="A448">
        <v>447</v>
      </c>
      <c r="B448" t="s">
        <v>14</v>
      </c>
      <c r="C448" t="s">
        <v>12</v>
      </c>
      <c r="D448">
        <v>546</v>
      </c>
      <c r="E448">
        <v>8.8000000000000007</v>
      </c>
      <c r="F448">
        <v>2852</v>
      </c>
      <c r="G448">
        <v>81</v>
      </c>
      <c r="H448">
        <v>1641</v>
      </c>
      <c r="I448">
        <v>24</v>
      </c>
      <c r="J448" t="s">
        <v>13</v>
      </c>
      <c r="K448">
        <v>5</v>
      </c>
    </row>
    <row r="449" spans="1:11" x14ac:dyDescent="0.25">
      <c r="A449">
        <v>448</v>
      </c>
      <c r="B449" t="s">
        <v>19</v>
      </c>
      <c r="C449" t="s">
        <v>12</v>
      </c>
      <c r="D449">
        <v>234</v>
      </c>
      <c r="E449">
        <v>5.2</v>
      </c>
      <c r="F449">
        <v>1604</v>
      </c>
      <c r="G449">
        <v>58</v>
      </c>
      <c r="H449">
        <v>919</v>
      </c>
      <c r="I449">
        <v>58</v>
      </c>
      <c r="J449" t="s">
        <v>13</v>
      </c>
      <c r="K449">
        <v>3</v>
      </c>
    </row>
    <row r="450" spans="1:11" x14ac:dyDescent="0.25">
      <c r="A450">
        <v>449</v>
      </c>
      <c r="B450" t="s">
        <v>19</v>
      </c>
      <c r="C450" t="s">
        <v>12</v>
      </c>
      <c r="D450">
        <v>152</v>
      </c>
      <c r="E450">
        <v>3</v>
      </c>
      <c r="F450">
        <v>617</v>
      </c>
      <c r="G450">
        <v>22</v>
      </c>
      <c r="H450">
        <v>306</v>
      </c>
      <c r="I450">
        <v>22</v>
      </c>
      <c r="J450" t="s">
        <v>15</v>
      </c>
      <c r="K450">
        <v>2</v>
      </c>
    </row>
    <row r="451" spans="1:11" x14ac:dyDescent="0.25">
      <c r="A451">
        <v>450</v>
      </c>
      <c r="B451" t="s">
        <v>11</v>
      </c>
      <c r="C451" t="s">
        <v>12</v>
      </c>
      <c r="D451">
        <v>34</v>
      </c>
      <c r="E451">
        <v>1.2</v>
      </c>
      <c r="F451">
        <v>518</v>
      </c>
      <c r="G451">
        <v>10</v>
      </c>
      <c r="H451">
        <v>170</v>
      </c>
      <c r="I451">
        <v>20</v>
      </c>
      <c r="J451" t="s">
        <v>15</v>
      </c>
      <c r="K451">
        <v>1</v>
      </c>
    </row>
    <row r="452" spans="1:11" x14ac:dyDescent="0.25">
      <c r="A452">
        <v>451</v>
      </c>
      <c r="B452" t="s">
        <v>19</v>
      </c>
      <c r="C452" t="s">
        <v>12</v>
      </c>
      <c r="D452">
        <v>179</v>
      </c>
      <c r="E452">
        <v>3.5</v>
      </c>
      <c r="F452">
        <v>1114</v>
      </c>
      <c r="G452">
        <v>30</v>
      </c>
      <c r="H452">
        <v>466</v>
      </c>
      <c r="I452">
        <v>56</v>
      </c>
      <c r="J452" t="s">
        <v>13</v>
      </c>
      <c r="K452">
        <v>2</v>
      </c>
    </row>
    <row r="453" spans="1:11" x14ac:dyDescent="0.25">
      <c r="A453">
        <v>452</v>
      </c>
      <c r="B453" t="s">
        <v>14</v>
      </c>
      <c r="C453" t="s">
        <v>12</v>
      </c>
      <c r="D453">
        <v>591</v>
      </c>
      <c r="E453">
        <v>11.8</v>
      </c>
      <c r="F453">
        <v>2953</v>
      </c>
      <c r="G453">
        <v>92</v>
      </c>
      <c r="H453">
        <v>1903</v>
      </c>
      <c r="I453">
        <v>52</v>
      </c>
      <c r="J453" t="s">
        <v>13</v>
      </c>
      <c r="K453">
        <v>5</v>
      </c>
    </row>
    <row r="454" spans="1:11" x14ac:dyDescent="0.25">
      <c r="A454">
        <v>453</v>
      </c>
      <c r="B454" t="s">
        <v>19</v>
      </c>
      <c r="C454" t="s">
        <v>12</v>
      </c>
      <c r="D454">
        <v>120</v>
      </c>
      <c r="E454">
        <v>3.3</v>
      </c>
      <c r="F454">
        <v>734</v>
      </c>
      <c r="G454">
        <v>35</v>
      </c>
      <c r="H454">
        <v>583</v>
      </c>
      <c r="I454">
        <v>26</v>
      </c>
      <c r="J454" t="s">
        <v>13</v>
      </c>
      <c r="K454">
        <v>2</v>
      </c>
    </row>
    <row r="455" spans="1:11" x14ac:dyDescent="0.25">
      <c r="A455">
        <v>454</v>
      </c>
      <c r="B455" t="s">
        <v>11</v>
      </c>
      <c r="C455" t="s">
        <v>12</v>
      </c>
      <c r="D455">
        <v>88</v>
      </c>
      <c r="E455">
        <v>1.3</v>
      </c>
      <c r="F455">
        <v>557</v>
      </c>
      <c r="G455">
        <v>13</v>
      </c>
      <c r="H455">
        <v>164</v>
      </c>
      <c r="I455">
        <v>43</v>
      </c>
      <c r="J455" t="s">
        <v>13</v>
      </c>
      <c r="K455">
        <v>1</v>
      </c>
    </row>
    <row r="456" spans="1:11" x14ac:dyDescent="0.25">
      <c r="A456">
        <v>455</v>
      </c>
      <c r="B456" t="s">
        <v>17</v>
      </c>
      <c r="C456" t="s">
        <v>18</v>
      </c>
      <c r="D456">
        <v>143</v>
      </c>
      <c r="E456">
        <v>3.9</v>
      </c>
      <c r="F456">
        <v>1160</v>
      </c>
      <c r="G456">
        <v>24</v>
      </c>
      <c r="H456">
        <v>398</v>
      </c>
      <c r="I456">
        <v>45</v>
      </c>
      <c r="J456" t="s">
        <v>13</v>
      </c>
      <c r="K456">
        <v>2</v>
      </c>
    </row>
    <row r="457" spans="1:11" x14ac:dyDescent="0.25">
      <c r="A457">
        <v>456</v>
      </c>
      <c r="B457" t="s">
        <v>17</v>
      </c>
      <c r="C457" t="s">
        <v>18</v>
      </c>
      <c r="D457">
        <v>74</v>
      </c>
      <c r="E457">
        <v>1.6</v>
      </c>
      <c r="F457">
        <v>436</v>
      </c>
      <c r="G457">
        <v>13</v>
      </c>
      <c r="H457">
        <v>182</v>
      </c>
      <c r="I457">
        <v>27</v>
      </c>
      <c r="J457" t="s">
        <v>15</v>
      </c>
      <c r="K457">
        <v>1</v>
      </c>
    </row>
    <row r="458" spans="1:11" x14ac:dyDescent="0.25">
      <c r="A458">
        <v>457</v>
      </c>
      <c r="B458" t="s">
        <v>17</v>
      </c>
      <c r="C458" t="s">
        <v>18</v>
      </c>
      <c r="D458">
        <v>74</v>
      </c>
      <c r="E458">
        <v>1.6</v>
      </c>
      <c r="F458">
        <v>587</v>
      </c>
      <c r="G458">
        <v>15</v>
      </c>
      <c r="H458">
        <v>275</v>
      </c>
      <c r="I458">
        <v>27</v>
      </c>
      <c r="J458" t="s">
        <v>15</v>
      </c>
      <c r="K458">
        <v>1</v>
      </c>
    </row>
    <row r="459" spans="1:11" x14ac:dyDescent="0.25">
      <c r="A459">
        <v>458</v>
      </c>
      <c r="B459" t="s">
        <v>14</v>
      </c>
      <c r="C459" t="s">
        <v>12</v>
      </c>
      <c r="D459">
        <v>234</v>
      </c>
      <c r="E459">
        <v>4.7</v>
      </c>
      <c r="F459">
        <v>1707</v>
      </c>
      <c r="G459">
        <v>55</v>
      </c>
      <c r="H459">
        <v>871</v>
      </c>
      <c r="I459">
        <v>46</v>
      </c>
      <c r="J459" t="s">
        <v>13</v>
      </c>
      <c r="K459">
        <v>3</v>
      </c>
    </row>
    <row r="460" spans="1:11" x14ac:dyDescent="0.25">
      <c r="A460">
        <v>459</v>
      </c>
      <c r="B460" t="s">
        <v>17</v>
      </c>
      <c r="C460" t="s">
        <v>18</v>
      </c>
      <c r="D460">
        <v>56</v>
      </c>
      <c r="E460">
        <v>1</v>
      </c>
      <c r="F460">
        <v>547</v>
      </c>
      <c r="G460">
        <v>10</v>
      </c>
      <c r="H460">
        <v>142</v>
      </c>
      <c r="I460">
        <v>58</v>
      </c>
      <c r="J460" t="s">
        <v>15</v>
      </c>
      <c r="K460">
        <v>1</v>
      </c>
    </row>
    <row r="461" spans="1:11" x14ac:dyDescent="0.25">
      <c r="A461">
        <v>460</v>
      </c>
      <c r="B461" t="s">
        <v>14</v>
      </c>
      <c r="C461" t="s">
        <v>12</v>
      </c>
      <c r="D461">
        <v>174</v>
      </c>
      <c r="E461">
        <v>2.4</v>
      </c>
      <c r="F461">
        <v>639</v>
      </c>
      <c r="G461">
        <v>37</v>
      </c>
      <c r="H461">
        <v>545</v>
      </c>
      <c r="I461">
        <v>50</v>
      </c>
      <c r="J461" t="s">
        <v>13</v>
      </c>
      <c r="K461">
        <v>2</v>
      </c>
    </row>
    <row r="462" spans="1:11" x14ac:dyDescent="0.25">
      <c r="A462">
        <v>461</v>
      </c>
      <c r="B462" t="s">
        <v>19</v>
      </c>
      <c r="C462" t="s">
        <v>12</v>
      </c>
      <c r="D462">
        <v>523</v>
      </c>
      <c r="E462">
        <v>9</v>
      </c>
      <c r="F462">
        <v>2696</v>
      </c>
      <c r="G462">
        <v>91</v>
      </c>
      <c r="H462">
        <v>1561</v>
      </c>
      <c r="I462">
        <v>20</v>
      </c>
      <c r="J462" t="s">
        <v>15</v>
      </c>
      <c r="K462">
        <v>5</v>
      </c>
    </row>
    <row r="463" spans="1:11" x14ac:dyDescent="0.25">
      <c r="A463">
        <v>462</v>
      </c>
      <c r="B463" t="s">
        <v>19</v>
      </c>
      <c r="C463" t="s">
        <v>12</v>
      </c>
      <c r="D463">
        <v>123</v>
      </c>
      <c r="E463">
        <v>3.3</v>
      </c>
      <c r="F463">
        <v>938</v>
      </c>
      <c r="G463">
        <v>36</v>
      </c>
      <c r="H463">
        <v>438</v>
      </c>
      <c r="I463">
        <v>55</v>
      </c>
      <c r="J463" t="s">
        <v>13</v>
      </c>
      <c r="K463">
        <v>2</v>
      </c>
    </row>
    <row r="464" spans="1:11" x14ac:dyDescent="0.25">
      <c r="A464">
        <v>463</v>
      </c>
      <c r="B464" t="s">
        <v>19</v>
      </c>
      <c r="C464" t="s">
        <v>12</v>
      </c>
      <c r="D464">
        <v>216</v>
      </c>
      <c r="E464">
        <v>5.9</v>
      </c>
      <c r="F464">
        <v>1789</v>
      </c>
      <c r="G464">
        <v>54</v>
      </c>
      <c r="H464">
        <v>987</v>
      </c>
      <c r="I464">
        <v>55</v>
      </c>
      <c r="J464" t="s">
        <v>13</v>
      </c>
      <c r="K464">
        <v>3</v>
      </c>
    </row>
    <row r="465" spans="1:11" x14ac:dyDescent="0.25">
      <c r="A465">
        <v>464</v>
      </c>
      <c r="B465" t="s">
        <v>17</v>
      </c>
      <c r="C465" t="s">
        <v>18</v>
      </c>
      <c r="D465">
        <v>290</v>
      </c>
      <c r="E465">
        <v>4.5999999999999996</v>
      </c>
      <c r="F465">
        <v>1694</v>
      </c>
      <c r="G465">
        <v>50</v>
      </c>
      <c r="H465">
        <v>809</v>
      </c>
      <c r="I465">
        <v>23</v>
      </c>
      <c r="J465" t="s">
        <v>13</v>
      </c>
      <c r="K465">
        <v>3</v>
      </c>
    </row>
    <row r="466" spans="1:11" x14ac:dyDescent="0.25">
      <c r="A466">
        <v>465</v>
      </c>
      <c r="B466" t="s">
        <v>16</v>
      </c>
      <c r="C466" t="s">
        <v>12</v>
      </c>
      <c r="D466">
        <v>68</v>
      </c>
      <c r="E466">
        <v>1.3</v>
      </c>
      <c r="F466">
        <v>583</v>
      </c>
      <c r="G466">
        <v>10</v>
      </c>
      <c r="H466">
        <v>281</v>
      </c>
      <c r="I466">
        <v>26</v>
      </c>
      <c r="J466" t="s">
        <v>15</v>
      </c>
      <c r="K466">
        <v>1</v>
      </c>
    </row>
    <row r="467" spans="1:11" x14ac:dyDescent="0.25">
      <c r="A467">
        <v>466</v>
      </c>
      <c r="B467" t="s">
        <v>14</v>
      </c>
      <c r="C467" t="s">
        <v>12</v>
      </c>
      <c r="D467">
        <v>265</v>
      </c>
      <c r="E467">
        <v>4.8</v>
      </c>
      <c r="F467">
        <v>1770</v>
      </c>
      <c r="G467">
        <v>51</v>
      </c>
      <c r="H467">
        <v>723</v>
      </c>
      <c r="I467">
        <v>55</v>
      </c>
      <c r="J467" t="s">
        <v>15</v>
      </c>
      <c r="K467">
        <v>3</v>
      </c>
    </row>
    <row r="468" spans="1:11" x14ac:dyDescent="0.25">
      <c r="A468">
        <v>467</v>
      </c>
      <c r="B468" t="s">
        <v>19</v>
      </c>
      <c r="C468" t="s">
        <v>12</v>
      </c>
      <c r="D468">
        <v>414</v>
      </c>
      <c r="E468">
        <v>7.3</v>
      </c>
      <c r="F468">
        <v>2349</v>
      </c>
      <c r="G468">
        <v>75</v>
      </c>
      <c r="H468">
        <v>1092</v>
      </c>
      <c r="I468">
        <v>51</v>
      </c>
      <c r="J468" t="s">
        <v>13</v>
      </c>
      <c r="K468">
        <v>4</v>
      </c>
    </row>
    <row r="469" spans="1:11" x14ac:dyDescent="0.25">
      <c r="A469">
        <v>468</v>
      </c>
      <c r="B469" t="s">
        <v>11</v>
      </c>
      <c r="C469" t="s">
        <v>12</v>
      </c>
      <c r="D469">
        <v>238</v>
      </c>
      <c r="E469">
        <v>4</v>
      </c>
      <c r="F469">
        <v>1414</v>
      </c>
      <c r="G469">
        <v>47</v>
      </c>
      <c r="H469">
        <v>661</v>
      </c>
      <c r="I469">
        <v>41</v>
      </c>
      <c r="J469" t="s">
        <v>15</v>
      </c>
      <c r="K469">
        <v>3</v>
      </c>
    </row>
    <row r="470" spans="1:11" x14ac:dyDescent="0.25">
      <c r="A470">
        <v>469</v>
      </c>
      <c r="B470" t="s">
        <v>16</v>
      </c>
      <c r="C470" t="s">
        <v>12</v>
      </c>
      <c r="D470">
        <v>429</v>
      </c>
      <c r="E470">
        <v>7.5</v>
      </c>
      <c r="F470">
        <v>1921</v>
      </c>
      <c r="G470">
        <v>61</v>
      </c>
      <c r="H470">
        <v>1102</v>
      </c>
      <c r="I470">
        <v>46</v>
      </c>
      <c r="J470" t="s">
        <v>13</v>
      </c>
      <c r="K470">
        <v>4</v>
      </c>
    </row>
    <row r="471" spans="1:11" x14ac:dyDescent="0.25">
      <c r="A471">
        <v>470</v>
      </c>
      <c r="B471" t="s">
        <v>16</v>
      </c>
      <c r="C471" t="s">
        <v>12</v>
      </c>
      <c r="D471">
        <v>39</v>
      </c>
      <c r="E471">
        <v>1.9</v>
      </c>
      <c r="F471">
        <v>541</v>
      </c>
      <c r="G471">
        <v>16</v>
      </c>
      <c r="H471">
        <v>294</v>
      </c>
      <c r="I471">
        <v>37</v>
      </c>
      <c r="J471" t="s">
        <v>13</v>
      </c>
      <c r="K471">
        <v>1</v>
      </c>
    </row>
    <row r="472" spans="1:11" x14ac:dyDescent="0.25">
      <c r="A472">
        <v>471</v>
      </c>
      <c r="B472" t="s">
        <v>19</v>
      </c>
      <c r="C472" t="s">
        <v>12</v>
      </c>
      <c r="D472">
        <v>248</v>
      </c>
      <c r="E472">
        <v>4.5999999999999996</v>
      </c>
      <c r="F472">
        <v>1396</v>
      </c>
      <c r="G472">
        <v>52</v>
      </c>
      <c r="H472">
        <v>883</v>
      </c>
      <c r="I472">
        <v>40</v>
      </c>
      <c r="J472" t="s">
        <v>13</v>
      </c>
      <c r="K472">
        <v>3</v>
      </c>
    </row>
    <row r="473" spans="1:11" x14ac:dyDescent="0.25">
      <c r="A473">
        <v>472</v>
      </c>
      <c r="B473" t="s">
        <v>16</v>
      </c>
      <c r="C473" t="s">
        <v>12</v>
      </c>
      <c r="D473">
        <v>541</v>
      </c>
      <c r="E473">
        <v>9.4</v>
      </c>
      <c r="F473">
        <v>2452</v>
      </c>
      <c r="G473">
        <v>93</v>
      </c>
      <c r="H473">
        <v>1811</v>
      </c>
      <c r="I473">
        <v>53</v>
      </c>
      <c r="J473" t="s">
        <v>15</v>
      </c>
      <c r="K473">
        <v>5</v>
      </c>
    </row>
    <row r="474" spans="1:11" x14ac:dyDescent="0.25">
      <c r="A474">
        <v>473</v>
      </c>
      <c r="B474" t="s">
        <v>16</v>
      </c>
      <c r="C474" t="s">
        <v>12</v>
      </c>
      <c r="D474">
        <v>139</v>
      </c>
      <c r="E474">
        <v>3</v>
      </c>
      <c r="F474">
        <v>697</v>
      </c>
      <c r="G474">
        <v>37</v>
      </c>
      <c r="H474">
        <v>513</v>
      </c>
      <c r="I474">
        <v>26</v>
      </c>
      <c r="J474" t="s">
        <v>15</v>
      </c>
      <c r="K474">
        <v>2</v>
      </c>
    </row>
    <row r="475" spans="1:11" x14ac:dyDescent="0.25">
      <c r="A475">
        <v>474</v>
      </c>
      <c r="B475" t="s">
        <v>17</v>
      </c>
      <c r="C475" t="s">
        <v>18</v>
      </c>
      <c r="D475">
        <v>289</v>
      </c>
      <c r="E475">
        <v>5</v>
      </c>
      <c r="F475">
        <v>1625</v>
      </c>
      <c r="G475">
        <v>45</v>
      </c>
      <c r="H475">
        <v>687</v>
      </c>
      <c r="I475">
        <v>29</v>
      </c>
      <c r="J475" t="s">
        <v>13</v>
      </c>
      <c r="K475">
        <v>3</v>
      </c>
    </row>
    <row r="476" spans="1:11" x14ac:dyDescent="0.25">
      <c r="A476">
        <v>475</v>
      </c>
      <c r="B476" t="s">
        <v>16</v>
      </c>
      <c r="C476" t="s">
        <v>12</v>
      </c>
      <c r="D476">
        <v>210</v>
      </c>
      <c r="E476">
        <v>4.9000000000000004</v>
      </c>
      <c r="F476">
        <v>1657</v>
      </c>
      <c r="G476">
        <v>55</v>
      </c>
      <c r="H476">
        <v>765</v>
      </c>
      <c r="I476">
        <v>49</v>
      </c>
      <c r="J476" t="s">
        <v>15</v>
      </c>
      <c r="K476">
        <v>3</v>
      </c>
    </row>
    <row r="477" spans="1:11" x14ac:dyDescent="0.25">
      <c r="A477">
        <v>476</v>
      </c>
      <c r="B477" t="s">
        <v>19</v>
      </c>
      <c r="C477" t="s">
        <v>12</v>
      </c>
      <c r="D477">
        <v>412</v>
      </c>
      <c r="E477">
        <v>6.2</v>
      </c>
      <c r="F477">
        <v>2201</v>
      </c>
      <c r="G477">
        <v>68</v>
      </c>
      <c r="H477">
        <v>1085</v>
      </c>
      <c r="I477">
        <v>54</v>
      </c>
      <c r="J477" t="s">
        <v>15</v>
      </c>
      <c r="K477">
        <v>4</v>
      </c>
    </row>
    <row r="478" spans="1:11" x14ac:dyDescent="0.25">
      <c r="A478">
        <v>477</v>
      </c>
      <c r="B478" t="s">
        <v>11</v>
      </c>
      <c r="C478" t="s">
        <v>12</v>
      </c>
      <c r="D478">
        <v>318</v>
      </c>
      <c r="E478">
        <v>6.6</v>
      </c>
      <c r="F478">
        <v>2089</v>
      </c>
      <c r="G478">
        <v>77</v>
      </c>
      <c r="H478">
        <v>1126</v>
      </c>
      <c r="I478">
        <v>49</v>
      </c>
      <c r="J478" t="s">
        <v>15</v>
      </c>
      <c r="K478">
        <v>4</v>
      </c>
    </row>
    <row r="479" spans="1:11" x14ac:dyDescent="0.25">
      <c r="A479">
        <v>478</v>
      </c>
      <c r="B479" t="s">
        <v>17</v>
      </c>
      <c r="C479" t="s">
        <v>18</v>
      </c>
      <c r="D479">
        <v>258</v>
      </c>
      <c r="E479">
        <v>4.2</v>
      </c>
      <c r="F479">
        <v>1315</v>
      </c>
      <c r="G479">
        <v>44</v>
      </c>
      <c r="H479">
        <v>762</v>
      </c>
      <c r="I479">
        <v>59</v>
      </c>
      <c r="J479" t="s">
        <v>15</v>
      </c>
      <c r="K479">
        <v>3</v>
      </c>
    </row>
    <row r="480" spans="1:11" x14ac:dyDescent="0.25">
      <c r="A480">
        <v>479</v>
      </c>
      <c r="B480" t="s">
        <v>14</v>
      </c>
      <c r="C480" t="s">
        <v>12</v>
      </c>
      <c r="D480">
        <v>258</v>
      </c>
      <c r="E480">
        <v>4.3</v>
      </c>
      <c r="F480">
        <v>1759</v>
      </c>
      <c r="G480">
        <v>59</v>
      </c>
      <c r="H480">
        <v>718</v>
      </c>
      <c r="I480">
        <v>41</v>
      </c>
      <c r="J480" t="s">
        <v>15</v>
      </c>
      <c r="K480">
        <v>3</v>
      </c>
    </row>
    <row r="481" spans="1:11" x14ac:dyDescent="0.25">
      <c r="A481">
        <v>480</v>
      </c>
      <c r="B481" t="s">
        <v>19</v>
      </c>
      <c r="C481" t="s">
        <v>12</v>
      </c>
      <c r="D481">
        <v>189</v>
      </c>
      <c r="E481">
        <v>4.8</v>
      </c>
      <c r="F481">
        <v>1681</v>
      </c>
      <c r="G481">
        <v>59</v>
      </c>
      <c r="H481">
        <v>795</v>
      </c>
      <c r="I481">
        <v>57</v>
      </c>
      <c r="J481" t="s">
        <v>13</v>
      </c>
      <c r="K481">
        <v>3</v>
      </c>
    </row>
    <row r="482" spans="1:11" x14ac:dyDescent="0.25">
      <c r="A482">
        <v>481</v>
      </c>
      <c r="B482" t="s">
        <v>17</v>
      </c>
      <c r="C482" t="s">
        <v>18</v>
      </c>
      <c r="D482">
        <v>155</v>
      </c>
      <c r="E482">
        <v>2.4</v>
      </c>
      <c r="F482">
        <v>954</v>
      </c>
      <c r="G482">
        <v>39</v>
      </c>
      <c r="H482">
        <v>441</v>
      </c>
      <c r="I482">
        <v>51</v>
      </c>
      <c r="J482" t="s">
        <v>13</v>
      </c>
      <c r="K482">
        <v>2</v>
      </c>
    </row>
    <row r="483" spans="1:11" x14ac:dyDescent="0.25">
      <c r="A483">
        <v>482</v>
      </c>
      <c r="B483" t="s">
        <v>19</v>
      </c>
      <c r="C483" t="s">
        <v>12</v>
      </c>
      <c r="D483">
        <v>528</v>
      </c>
      <c r="E483">
        <v>10.4</v>
      </c>
      <c r="F483">
        <v>2717</v>
      </c>
      <c r="G483">
        <v>87</v>
      </c>
      <c r="H483">
        <v>2140</v>
      </c>
      <c r="I483">
        <v>34</v>
      </c>
      <c r="J483" t="s">
        <v>13</v>
      </c>
      <c r="K483">
        <v>5</v>
      </c>
    </row>
    <row r="484" spans="1:11" x14ac:dyDescent="0.25">
      <c r="A484">
        <v>483</v>
      </c>
      <c r="B484" t="s">
        <v>17</v>
      </c>
      <c r="C484" t="s">
        <v>18</v>
      </c>
      <c r="D484">
        <v>549</v>
      </c>
      <c r="E484">
        <v>11.1</v>
      </c>
      <c r="F484">
        <v>2851</v>
      </c>
      <c r="G484">
        <v>87</v>
      </c>
      <c r="H484">
        <v>1814</v>
      </c>
      <c r="I484">
        <v>56</v>
      </c>
      <c r="J484" t="s">
        <v>13</v>
      </c>
      <c r="K484">
        <v>5</v>
      </c>
    </row>
    <row r="485" spans="1:11" x14ac:dyDescent="0.25">
      <c r="A485">
        <v>484</v>
      </c>
      <c r="B485" t="s">
        <v>16</v>
      </c>
      <c r="C485" t="s">
        <v>12</v>
      </c>
      <c r="D485">
        <v>78</v>
      </c>
      <c r="E485">
        <v>1.6</v>
      </c>
      <c r="F485">
        <v>470</v>
      </c>
      <c r="G485">
        <v>18</v>
      </c>
      <c r="H485">
        <v>230</v>
      </c>
      <c r="I485">
        <v>49</v>
      </c>
      <c r="J485" t="s">
        <v>15</v>
      </c>
      <c r="K485">
        <v>1</v>
      </c>
    </row>
    <row r="486" spans="1:11" x14ac:dyDescent="0.25">
      <c r="A486">
        <v>485</v>
      </c>
      <c r="B486" t="s">
        <v>17</v>
      </c>
      <c r="C486" t="s">
        <v>18</v>
      </c>
      <c r="D486">
        <v>444</v>
      </c>
      <c r="E486">
        <v>6</v>
      </c>
      <c r="F486">
        <v>1873</v>
      </c>
      <c r="G486">
        <v>61</v>
      </c>
      <c r="H486">
        <v>1093</v>
      </c>
      <c r="I486">
        <v>39</v>
      </c>
      <c r="J486" t="s">
        <v>15</v>
      </c>
      <c r="K486">
        <v>4</v>
      </c>
    </row>
    <row r="487" spans="1:11" x14ac:dyDescent="0.25">
      <c r="A487">
        <v>486</v>
      </c>
      <c r="B487" t="s">
        <v>16</v>
      </c>
      <c r="C487" t="s">
        <v>12</v>
      </c>
      <c r="D487">
        <v>80</v>
      </c>
      <c r="E487">
        <v>1.1000000000000001</v>
      </c>
      <c r="F487">
        <v>417</v>
      </c>
      <c r="G487">
        <v>18</v>
      </c>
      <c r="H487">
        <v>298</v>
      </c>
      <c r="I487">
        <v>36</v>
      </c>
      <c r="J487" t="s">
        <v>13</v>
      </c>
      <c r="K487">
        <v>1</v>
      </c>
    </row>
    <row r="488" spans="1:11" x14ac:dyDescent="0.25">
      <c r="A488">
        <v>487</v>
      </c>
      <c r="B488" t="s">
        <v>17</v>
      </c>
      <c r="C488" t="s">
        <v>18</v>
      </c>
      <c r="D488">
        <v>131</v>
      </c>
      <c r="E488">
        <v>3.8</v>
      </c>
      <c r="F488">
        <v>739</v>
      </c>
      <c r="G488">
        <v>34</v>
      </c>
      <c r="H488">
        <v>330</v>
      </c>
      <c r="I488">
        <v>57</v>
      </c>
      <c r="J488" t="s">
        <v>15</v>
      </c>
      <c r="K488">
        <v>2</v>
      </c>
    </row>
    <row r="489" spans="1:11" x14ac:dyDescent="0.25">
      <c r="A489">
        <v>488</v>
      </c>
      <c r="B489" t="s">
        <v>17</v>
      </c>
      <c r="C489" t="s">
        <v>18</v>
      </c>
      <c r="D489">
        <v>228</v>
      </c>
      <c r="E489">
        <v>4.4000000000000004</v>
      </c>
      <c r="F489">
        <v>1734</v>
      </c>
      <c r="G489">
        <v>46</v>
      </c>
      <c r="H489">
        <v>804</v>
      </c>
      <c r="I489">
        <v>57</v>
      </c>
      <c r="J489" t="s">
        <v>15</v>
      </c>
      <c r="K489">
        <v>3</v>
      </c>
    </row>
    <row r="490" spans="1:11" x14ac:dyDescent="0.25">
      <c r="A490">
        <v>489</v>
      </c>
      <c r="B490" t="s">
        <v>16</v>
      </c>
      <c r="C490" t="s">
        <v>12</v>
      </c>
      <c r="D490">
        <v>416</v>
      </c>
      <c r="E490">
        <v>7.3</v>
      </c>
      <c r="F490">
        <v>1882</v>
      </c>
      <c r="G490">
        <v>62</v>
      </c>
      <c r="H490">
        <v>1333</v>
      </c>
      <c r="I490">
        <v>32</v>
      </c>
      <c r="J490" t="s">
        <v>15</v>
      </c>
      <c r="K490">
        <v>4</v>
      </c>
    </row>
    <row r="491" spans="1:11" x14ac:dyDescent="0.25">
      <c r="A491">
        <v>490</v>
      </c>
      <c r="B491" t="s">
        <v>11</v>
      </c>
      <c r="C491" t="s">
        <v>12</v>
      </c>
      <c r="D491">
        <v>586</v>
      </c>
      <c r="E491">
        <v>9.3000000000000007</v>
      </c>
      <c r="F491">
        <v>2403</v>
      </c>
      <c r="G491">
        <v>94</v>
      </c>
      <c r="H491">
        <v>2332</v>
      </c>
      <c r="I491">
        <v>21</v>
      </c>
      <c r="J491" t="s">
        <v>13</v>
      </c>
      <c r="K491">
        <v>5</v>
      </c>
    </row>
    <row r="492" spans="1:11" x14ac:dyDescent="0.25">
      <c r="A492">
        <v>491</v>
      </c>
      <c r="B492" t="s">
        <v>11</v>
      </c>
      <c r="C492" t="s">
        <v>12</v>
      </c>
      <c r="D492">
        <v>416</v>
      </c>
      <c r="E492">
        <v>6.1</v>
      </c>
      <c r="F492">
        <v>2279</v>
      </c>
      <c r="G492">
        <v>71</v>
      </c>
      <c r="H492">
        <v>1096</v>
      </c>
      <c r="I492">
        <v>47</v>
      </c>
      <c r="J492" t="s">
        <v>13</v>
      </c>
      <c r="K492">
        <v>4</v>
      </c>
    </row>
    <row r="493" spans="1:11" x14ac:dyDescent="0.25">
      <c r="A493">
        <v>492</v>
      </c>
      <c r="B493" t="s">
        <v>17</v>
      </c>
      <c r="C493" t="s">
        <v>18</v>
      </c>
      <c r="D493">
        <v>152</v>
      </c>
      <c r="E493">
        <v>3.7</v>
      </c>
      <c r="F493">
        <v>948</v>
      </c>
      <c r="G493">
        <v>22</v>
      </c>
      <c r="H493">
        <v>507</v>
      </c>
      <c r="I493">
        <v>53</v>
      </c>
      <c r="J493" t="s">
        <v>15</v>
      </c>
      <c r="K493">
        <v>2</v>
      </c>
    </row>
    <row r="494" spans="1:11" x14ac:dyDescent="0.25">
      <c r="A494">
        <v>493</v>
      </c>
      <c r="B494" t="s">
        <v>16</v>
      </c>
      <c r="C494" t="s">
        <v>12</v>
      </c>
      <c r="D494">
        <v>87</v>
      </c>
      <c r="E494">
        <v>1.5</v>
      </c>
      <c r="F494">
        <v>594</v>
      </c>
      <c r="G494">
        <v>19</v>
      </c>
      <c r="H494">
        <v>198</v>
      </c>
      <c r="I494">
        <v>36</v>
      </c>
      <c r="J494" t="s">
        <v>15</v>
      </c>
      <c r="K494">
        <v>1</v>
      </c>
    </row>
    <row r="495" spans="1:11" x14ac:dyDescent="0.25">
      <c r="A495">
        <v>494</v>
      </c>
      <c r="B495" t="s">
        <v>14</v>
      </c>
      <c r="C495" t="s">
        <v>12</v>
      </c>
      <c r="D495">
        <v>329</v>
      </c>
      <c r="E495">
        <v>6.8</v>
      </c>
      <c r="F495">
        <v>1892</v>
      </c>
      <c r="G495">
        <v>69</v>
      </c>
      <c r="H495">
        <v>1383</v>
      </c>
      <c r="I495">
        <v>23</v>
      </c>
      <c r="J495" t="s">
        <v>13</v>
      </c>
      <c r="K495">
        <v>4</v>
      </c>
    </row>
    <row r="496" spans="1:11" x14ac:dyDescent="0.25">
      <c r="A496">
        <v>495</v>
      </c>
      <c r="B496" t="s">
        <v>19</v>
      </c>
      <c r="C496" t="s">
        <v>12</v>
      </c>
      <c r="D496">
        <v>107</v>
      </c>
      <c r="E496">
        <v>2.5</v>
      </c>
      <c r="F496">
        <v>1176</v>
      </c>
      <c r="G496">
        <v>24</v>
      </c>
      <c r="H496">
        <v>545</v>
      </c>
      <c r="I496">
        <v>29</v>
      </c>
      <c r="J496" t="s">
        <v>15</v>
      </c>
      <c r="K496">
        <v>2</v>
      </c>
    </row>
    <row r="497" spans="1:11" x14ac:dyDescent="0.25">
      <c r="A497">
        <v>496</v>
      </c>
      <c r="B497" t="s">
        <v>11</v>
      </c>
      <c r="C497" t="s">
        <v>12</v>
      </c>
      <c r="D497">
        <v>493</v>
      </c>
      <c r="E497">
        <v>10.9</v>
      </c>
      <c r="F497">
        <v>2928</v>
      </c>
      <c r="G497">
        <v>88</v>
      </c>
      <c r="H497">
        <v>2116</v>
      </c>
      <c r="I497">
        <v>57</v>
      </c>
      <c r="J497" t="s">
        <v>13</v>
      </c>
      <c r="K497">
        <v>5</v>
      </c>
    </row>
    <row r="498" spans="1:11" x14ac:dyDescent="0.25">
      <c r="A498">
        <v>497</v>
      </c>
      <c r="B498" t="s">
        <v>17</v>
      </c>
      <c r="C498" t="s">
        <v>18</v>
      </c>
      <c r="D498">
        <v>182</v>
      </c>
      <c r="E498">
        <v>4.8</v>
      </c>
      <c r="F498">
        <v>1500</v>
      </c>
      <c r="G498">
        <v>51</v>
      </c>
      <c r="H498">
        <v>807</v>
      </c>
      <c r="I498">
        <v>43</v>
      </c>
      <c r="J498" t="s">
        <v>15</v>
      </c>
      <c r="K498">
        <v>3</v>
      </c>
    </row>
    <row r="499" spans="1:11" x14ac:dyDescent="0.25">
      <c r="A499">
        <v>498</v>
      </c>
      <c r="B499" t="s">
        <v>17</v>
      </c>
      <c r="C499" t="s">
        <v>18</v>
      </c>
      <c r="D499">
        <v>102</v>
      </c>
      <c r="E499">
        <v>2.9</v>
      </c>
      <c r="F499">
        <v>918</v>
      </c>
      <c r="G499">
        <v>37</v>
      </c>
      <c r="H499">
        <v>362</v>
      </c>
      <c r="I499">
        <v>20</v>
      </c>
      <c r="J499" t="s">
        <v>15</v>
      </c>
      <c r="K499">
        <v>2</v>
      </c>
    </row>
    <row r="500" spans="1:11" x14ac:dyDescent="0.25">
      <c r="A500">
        <v>499</v>
      </c>
      <c r="B500" t="s">
        <v>11</v>
      </c>
      <c r="C500" t="s">
        <v>12</v>
      </c>
      <c r="D500">
        <v>274</v>
      </c>
      <c r="E500">
        <v>4.5</v>
      </c>
      <c r="F500">
        <v>1356</v>
      </c>
      <c r="G500">
        <v>54</v>
      </c>
      <c r="H500">
        <v>869</v>
      </c>
      <c r="I500">
        <v>53</v>
      </c>
      <c r="J500" t="s">
        <v>13</v>
      </c>
      <c r="K500">
        <v>3</v>
      </c>
    </row>
    <row r="501" spans="1:11" x14ac:dyDescent="0.25">
      <c r="A501">
        <v>500</v>
      </c>
      <c r="B501" t="s">
        <v>17</v>
      </c>
      <c r="C501" t="s">
        <v>18</v>
      </c>
      <c r="D501">
        <v>143</v>
      </c>
      <c r="E501">
        <v>3.6</v>
      </c>
      <c r="F501">
        <v>988</v>
      </c>
      <c r="G501">
        <v>26</v>
      </c>
      <c r="H501">
        <v>504</v>
      </c>
      <c r="I501">
        <v>45</v>
      </c>
      <c r="J501" t="s">
        <v>15</v>
      </c>
      <c r="K501">
        <v>2</v>
      </c>
    </row>
    <row r="502" spans="1:11" x14ac:dyDescent="0.25">
      <c r="A502">
        <v>501</v>
      </c>
      <c r="B502" t="s">
        <v>11</v>
      </c>
      <c r="C502" t="s">
        <v>12</v>
      </c>
      <c r="D502">
        <v>66</v>
      </c>
      <c r="E502">
        <v>1.3</v>
      </c>
      <c r="F502">
        <v>369</v>
      </c>
      <c r="G502">
        <v>14</v>
      </c>
      <c r="H502">
        <v>195</v>
      </c>
      <c r="I502">
        <v>32</v>
      </c>
      <c r="J502" t="s">
        <v>13</v>
      </c>
      <c r="K502">
        <v>1</v>
      </c>
    </row>
    <row r="503" spans="1:11" x14ac:dyDescent="0.25">
      <c r="A503">
        <v>502</v>
      </c>
      <c r="B503" t="s">
        <v>16</v>
      </c>
      <c r="C503" t="s">
        <v>12</v>
      </c>
      <c r="D503">
        <v>420</v>
      </c>
      <c r="E503">
        <v>7.7</v>
      </c>
      <c r="F503">
        <v>2017</v>
      </c>
      <c r="G503">
        <v>74</v>
      </c>
      <c r="H503">
        <v>1187</v>
      </c>
      <c r="I503">
        <v>24</v>
      </c>
      <c r="J503" t="s">
        <v>15</v>
      </c>
      <c r="K503">
        <v>4</v>
      </c>
    </row>
    <row r="504" spans="1:11" x14ac:dyDescent="0.25">
      <c r="A504">
        <v>503</v>
      </c>
      <c r="B504" t="s">
        <v>16</v>
      </c>
      <c r="C504" t="s">
        <v>12</v>
      </c>
      <c r="D504">
        <v>582</v>
      </c>
      <c r="E504">
        <v>8.4</v>
      </c>
      <c r="F504">
        <v>2664</v>
      </c>
      <c r="G504">
        <v>91</v>
      </c>
      <c r="H504">
        <v>2493</v>
      </c>
      <c r="I504">
        <v>55</v>
      </c>
      <c r="J504" t="s">
        <v>15</v>
      </c>
      <c r="K504">
        <v>5</v>
      </c>
    </row>
    <row r="505" spans="1:11" x14ac:dyDescent="0.25">
      <c r="A505">
        <v>504</v>
      </c>
      <c r="B505" t="s">
        <v>11</v>
      </c>
      <c r="C505" t="s">
        <v>12</v>
      </c>
      <c r="D505">
        <v>200</v>
      </c>
      <c r="E505">
        <v>5.8</v>
      </c>
      <c r="F505">
        <v>1291</v>
      </c>
      <c r="G505">
        <v>50</v>
      </c>
      <c r="H505">
        <v>965</v>
      </c>
      <c r="I505">
        <v>52</v>
      </c>
      <c r="J505" t="s">
        <v>13</v>
      </c>
      <c r="K505">
        <v>3</v>
      </c>
    </row>
    <row r="506" spans="1:11" x14ac:dyDescent="0.25">
      <c r="A506">
        <v>505</v>
      </c>
      <c r="B506" t="s">
        <v>11</v>
      </c>
      <c r="C506" t="s">
        <v>12</v>
      </c>
      <c r="D506">
        <v>493</v>
      </c>
      <c r="E506">
        <v>8.5</v>
      </c>
      <c r="F506">
        <v>2859</v>
      </c>
      <c r="G506">
        <v>99</v>
      </c>
      <c r="H506">
        <v>2450</v>
      </c>
      <c r="I506">
        <v>47</v>
      </c>
      <c r="J506" t="s">
        <v>13</v>
      </c>
      <c r="K506">
        <v>5</v>
      </c>
    </row>
    <row r="507" spans="1:11" x14ac:dyDescent="0.25">
      <c r="A507">
        <v>506</v>
      </c>
      <c r="B507" t="s">
        <v>19</v>
      </c>
      <c r="C507" t="s">
        <v>12</v>
      </c>
      <c r="D507">
        <v>348</v>
      </c>
      <c r="E507">
        <v>6.6</v>
      </c>
      <c r="F507">
        <v>2398</v>
      </c>
      <c r="G507">
        <v>66</v>
      </c>
      <c r="H507">
        <v>1415</v>
      </c>
      <c r="I507">
        <v>49</v>
      </c>
      <c r="J507" t="s">
        <v>15</v>
      </c>
      <c r="K507">
        <v>4</v>
      </c>
    </row>
    <row r="508" spans="1:11" x14ac:dyDescent="0.25">
      <c r="A508">
        <v>507</v>
      </c>
      <c r="B508" t="s">
        <v>16</v>
      </c>
      <c r="C508" t="s">
        <v>12</v>
      </c>
      <c r="D508">
        <v>238</v>
      </c>
      <c r="E508">
        <v>5.0999999999999996</v>
      </c>
      <c r="F508">
        <v>1408</v>
      </c>
      <c r="G508">
        <v>45</v>
      </c>
      <c r="H508">
        <v>941</v>
      </c>
      <c r="I508">
        <v>27</v>
      </c>
      <c r="J508" t="s">
        <v>13</v>
      </c>
      <c r="K508">
        <v>3</v>
      </c>
    </row>
    <row r="509" spans="1:11" x14ac:dyDescent="0.25">
      <c r="A509">
        <v>508</v>
      </c>
      <c r="B509" t="s">
        <v>16</v>
      </c>
      <c r="C509" t="s">
        <v>12</v>
      </c>
      <c r="D509">
        <v>33</v>
      </c>
      <c r="E509">
        <v>2</v>
      </c>
      <c r="F509">
        <v>318</v>
      </c>
      <c r="G509">
        <v>11</v>
      </c>
      <c r="H509">
        <v>173</v>
      </c>
      <c r="I509">
        <v>42</v>
      </c>
      <c r="J509" t="s">
        <v>15</v>
      </c>
      <c r="K509">
        <v>1</v>
      </c>
    </row>
    <row r="510" spans="1:11" x14ac:dyDescent="0.25">
      <c r="A510">
        <v>509</v>
      </c>
      <c r="B510" t="s">
        <v>11</v>
      </c>
      <c r="C510" t="s">
        <v>12</v>
      </c>
      <c r="D510">
        <v>267</v>
      </c>
      <c r="E510">
        <v>5.9</v>
      </c>
      <c r="F510">
        <v>1740</v>
      </c>
      <c r="G510">
        <v>45</v>
      </c>
      <c r="H510">
        <v>791</v>
      </c>
      <c r="I510">
        <v>22</v>
      </c>
      <c r="J510" t="s">
        <v>13</v>
      </c>
      <c r="K510">
        <v>3</v>
      </c>
    </row>
    <row r="511" spans="1:11" x14ac:dyDescent="0.25">
      <c r="A511">
        <v>510</v>
      </c>
      <c r="B511" t="s">
        <v>17</v>
      </c>
      <c r="C511" t="s">
        <v>18</v>
      </c>
      <c r="D511">
        <v>492</v>
      </c>
      <c r="E511">
        <v>10</v>
      </c>
      <c r="F511">
        <v>2513</v>
      </c>
      <c r="G511">
        <v>90</v>
      </c>
      <c r="H511">
        <v>1968</v>
      </c>
      <c r="I511">
        <v>31</v>
      </c>
      <c r="J511" t="s">
        <v>13</v>
      </c>
      <c r="K511">
        <v>5</v>
      </c>
    </row>
    <row r="512" spans="1:11" x14ac:dyDescent="0.25">
      <c r="A512">
        <v>511</v>
      </c>
      <c r="B512" t="s">
        <v>11</v>
      </c>
      <c r="C512" t="s">
        <v>12</v>
      </c>
      <c r="D512">
        <v>241</v>
      </c>
      <c r="E512">
        <v>5.3</v>
      </c>
      <c r="F512">
        <v>1767</v>
      </c>
      <c r="G512">
        <v>58</v>
      </c>
      <c r="H512">
        <v>976</v>
      </c>
      <c r="I512">
        <v>38</v>
      </c>
      <c r="J512" t="s">
        <v>15</v>
      </c>
      <c r="K512">
        <v>3</v>
      </c>
    </row>
    <row r="513" spans="1:11" x14ac:dyDescent="0.25">
      <c r="A513">
        <v>512</v>
      </c>
      <c r="B513" t="s">
        <v>19</v>
      </c>
      <c r="C513" t="s">
        <v>12</v>
      </c>
      <c r="D513">
        <v>567</v>
      </c>
      <c r="E513">
        <v>10.8</v>
      </c>
      <c r="F513">
        <v>2911</v>
      </c>
      <c r="G513">
        <v>89</v>
      </c>
      <c r="H513">
        <v>1682</v>
      </c>
      <c r="I513">
        <v>39</v>
      </c>
      <c r="J513" t="s">
        <v>13</v>
      </c>
      <c r="K513">
        <v>5</v>
      </c>
    </row>
    <row r="514" spans="1:11" x14ac:dyDescent="0.25">
      <c r="A514">
        <v>513</v>
      </c>
      <c r="B514" t="s">
        <v>19</v>
      </c>
      <c r="C514" t="s">
        <v>12</v>
      </c>
      <c r="D514">
        <v>36</v>
      </c>
      <c r="E514">
        <v>1.6</v>
      </c>
      <c r="F514">
        <v>442</v>
      </c>
      <c r="G514">
        <v>17</v>
      </c>
      <c r="H514">
        <v>249</v>
      </c>
      <c r="I514">
        <v>34</v>
      </c>
      <c r="J514" t="s">
        <v>13</v>
      </c>
      <c r="K514">
        <v>1</v>
      </c>
    </row>
    <row r="515" spans="1:11" x14ac:dyDescent="0.25">
      <c r="A515">
        <v>514</v>
      </c>
      <c r="B515" t="s">
        <v>14</v>
      </c>
      <c r="C515" t="s">
        <v>12</v>
      </c>
      <c r="D515">
        <v>110</v>
      </c>
      <c r="E515">
        <v>3.4</v>
      </c>
      <c r="F515">
        <v>975</v>
      </c>
      <c r="G515">
        <v>31</v>
      </c>
      <c r="H515">
        <v>507</v>
      </c>
      <c r="I515">
        <v>57</v>
      </c>
      <c r="J515" t="s">
        <v>15</v>
      </c>
      <c r="K515">
        <v>2</v>
      </c>
    </row>
    <row r="516" spans="1:11" x14ac:dyDescent="0.25">
      <c r="A516">
        <v>515</v>
      </c>
      <c r="B516" t="s">
        <v>19</v>
      </c>
      <c r="C516" t="s">
        <v>12</v>
      </c>
      <c r="D516">
        <v>466</v>
      </c>
      <c r="E516">
        <v>7.1</v>
      </c>
      <c r="F516">
        <v>1984</v>
      </c>
      <c r="G516">
        <v>73</v>
      </c>
      <c r="H516">
        <v>1461</v>
      </c>
      <c r="I516">
        <v>54</v>
      </c>
      <c r="J516" t="s">
        <v>13</v>
      </c>
      <c r="K516">
        <v>4</v>
      </c>
    </row>
    <row r="517" spans="1:11" x14ac:dyDescent="0.25">
      <c r="A517">
        <v>516</v>
      </c>
      <c r="B517" t="s">
        <v>14</v>
      </c>
      <c r="C517" t="s">
        <v>12</v>
      </c>
      <c r="D517">
        <v>126</v>
      </c>
      <c r="E517">
        <v>2.2000000000000002</v>
      </c>
      <c r="F517">
        <v>1187</v>
      </c>
      <c r="G517">
        <v>28</v>
      </c>
      <c r="H517">
        <v>599</v>
      </c>
      <c r="I517">
        <v>25</v>
      </c>
      <c r="J517" t="s">
        <v>13</v>
      </c>
      <c r="K517">
        <v>2</v>
      </c>
    </row>
    <row r="518" spans="1:11" x14ac:dyDescent="0.25">
      <c r="A518">
        <v>517</v>
      </c>
      <c r="B518" t="s">
        <v>16</v>
      </c>
      <c r="C518" t="s">
        <v>12</v>
      </c>
      <c r="D518">
        <v>120</v>
      </c>
      <c r="E518">
        <v>3.8</v>
      </c>
      <c r="F518">
        <v>940</v>
      </c>
      <c r="G518">
        <v>36</v>
      </c>
      <c r="H518">
        <v>535</v>
      </c>
      <c r="I518">
        <v>44</v>
      </c>
      <c r="J518" t="s">
        <v>13</v>
      </c>
      <c r="K518">
        <v>2</v>
      </c>
    </row>
    <row r="519" spans="1:11" x14ac:dyDescent="0.25">
      <c r="A519">
        <v>518</v>
      </c>
      <c r="B519" t="s">
        <v>17</v>
      </c>
      <c r="C519" t="s">
        <v>18</v>
      </c>
      <c r="D519">
        <v>64</v>
      </c>
      <c r="E519">
        <v>1.2</v>
      </c>
      <c r="F519">
        <v>592</v>
      </c>
      <c r="G519">
        <v>19</v>
      </c>
      <c r="H519">
        <v>218</v>
      </c>
      <c r="I519">
        <v>25</v>
      </c>
      <c r="J519" t="s">
        <v>13</v>
      </c>
      <c r="K519">
        <v>1</v>
      </c>
    </row>
    <row r="520" spans="1:11" x14ac:dyDescent="0.25">
      <c r="A520">
        <v>519</v>
      </c>
      <c r="B520" t="s">
        <v>14</v>
      </c>
      <c r="C520" t="s">
        <v>12</v>
      </c>
      <c r="D520">
        <v>574</v>
      </c>
      <c r="E520">
        <v>8.5</v>
      </c>
      <c r="F520">
        <v>2780</v>
      </c>
      <c r="G520">
        <v>87</v>
      </c>
      <c r="H520">
        <v>1809</v>
      </c>
      <c r="I520">
        <v>34</v>
      </c>
      <c r="J520" t="s">
        <v>15</v>
      </c>
      <c r="K520">
        <v>5</v>
      </c>
    </row>
    <row r="521" spans="1:11" x14ac:dyDescent="0.25">
      <c r="A521">
        <v>520</v>
      </c>
      <c r="B521" t="s">
        <v>14</v>
      </c>
      <c r="C521" t="s">
        <v>12</v>
      </c>
      <c r="D521">
        <v>119</v>
      </c>
      <c r="E521">
        <v>2.2000000000000002</v>
      </c>
      <c r="F521">
        <v>1123</v>
      </c>
      <c r="G521">
        <v>22</v>
      </c>
      <c r="H521">
        <v>371</v>
      </c>
      <c r="I521">
        <v>51</v>
      </c>
      <c r="J521" t="s">
        <v>13</v>
      </c>
      <c r="K521">
        <v>2</v>
      </c>
    </row>
    <row r="522" spans="1:11" x14ac:dyDescent="0.25">
      <c r="A522">
        <v>521</v>
      </c>
      <c r="B522" t="s">
        <v>14</v>
      </c>
      <c r="C522" t="s">
        <v>12</v>
      </c>
      <c r="D522">
        <v>350</v>
      </c>
      <c r="E522">
        <v>6.5</v>
      </c>
      <c r="F522">
        <v>2364</v>
      </c>
      <c r="G522">
        <v>75</v>
      </c>
      <c r="H522">
        <v>1485</v>
      </c>
      <c r="I522">
        <v>20</v>
      </c>
      <c r="J522" t="s">
        <v>13</v>
      </c>
      <c r="K522">
        <v>4</v>
      </c>
    </row>
    <row r="523" spans="1:11" x14ac:dyDescent="0.25">
      <c r="A523">
        <v>522</v>
      </c>
      <c r="B523" t="s">
        <v>11</v>
      </c>
      <c r="C523" t="s">
        <v>12</v>
      </c>
      <c r="D523">
        <v>69</v>
      </c>
      <c r="E523">
        <v>1.1000000000000001</v>
      </c>
      <c r="F523">
        <v>535</v>
      </c>
      <c r="G523">
        <v>17</v>
      </c>
      <c r="H523">
        <v>250</v>
      </c>
      <c r="I523">
        <v>25</v>
      </c>
      <c r="J523" t="s">
        <v>13</v>
      </c>
      <c r="K523">
        <v>1</v>
      </c>
    </row>
    <row r="524" spans="1:11" x14ac:dyDescent="0.25">
      <c r="A524">
        <v>523</v>
      </c>
      <c r="B524" t="s">
        <v>16</v>
      </c>
      <c r="C524" t="s">
        <v>12</v>
      </c>
      <c r="D524">
        <v>438</v>
      </c>
      <c r="E524">
        <v>6.5</v>
      </c>
      <c r="F524">
        <v>1849</v>
      </c>
      <c r="G524">
        <v>64</v>
      </c>
      <c r="H524">
        <v>1125</v>
      </c>
      <c r="I524">
        <v>49</v>
      </c>
      <c r="J524" t="s">
        <v>15</v>
      </c>
      <c r="K524">
        <v>4</v>
      </c>
    </row>
    <row r="525" spans="1:11" x14ac:dyDescent="0.25">
      <c r="A525">
        <v>524</v>
      </c>
      <c r="B525" t="s">
        <v>19</v>
      </c>
      <c r="C525" t="s">
        <v>12</v>
      </c>
      <c r="D525">
        <v>506</v>
      </c>
      <c r="E525">
        <v>11.2</v>
      </c>
      <c r="F525">
        <v>2623</v>
      </c>
      <c r="G525">
        <v>98</v>
      </c>
      <c r="H525">
        <v>2460</v>
      </c>
      <c r="I525">
        <v>48</v>
      </c>
      <c r="J525" t="s">
        <v>13</v>
      </c>
      <c r="K525">
        <v>5</v>
      </c>
    </row>
    <row r="526" spans="1:11" x14ac:dyDescent="0.25">
      <c r="A526">
        <v>525</v>
      </c>
      <c r="B526" t="s">
        <v>19</v>
      </c>
      <c r="C526" t="s">
        <v>12</v>
      </c>
      <c r="D526">
        <v>272</v>
      </c>
      <c r="E526">
        <v>5.2</v>
      </c>
      <c r="F526">
        <v>1390</v>
      </c>
      <c r="G526">
        <v>45</v>
      </c>
      <c r="H526">
        <v>792</v>
      </c>
      <c r="I526">
        <v>57</v>
      </c>
      <c r="J526" t="s">
        <v>15</v>
      </c>
      <c r="K526">
        <v>3</v>
      </c>
    </row>
    <row r="527" spans="1:11" x14ac:dyDescent="0.25">
      <c r="A527">
        <v>526</v>
      </c>
      <c r="B527" t="s">
        <v>19</v>
      </c>
      <c r="C527" t="s">
        <v>12</v>
      </c>
      <c r="D527">
        <v>224</v>
      </c>
      <c r="E527">
        <v>4.5</v>
      </c>
      <c r="F527">
        <v>1646</v>
      </c>
      <c r="G527">
        <v>57</v>
      </c>
      <c r="H527">
        <v>665</v>
      </c>
      <c r="I527">
        <v>59</v>
      </c>
      <c r="J527" t="s">
        <v>13</v>
      </c>
      <c r="K527">
        <v>3</v>
      </c>
    </row>
    <row r="528" spans="1:11" x14ac:dyDescent="0.25">
      <c r="A528">
        <v>527</v>
      </c>
      <c r="B528" t="s">
        <v>11</v>
      </c>
      <c r="C528" t="s">
        <v>12</v>
      </c>
      <c r="D528">
        <v>99</v>
      </c>
      <c r="E528">
        <v>2.4</v>
      </c>
      <c r="F528">
        <v>689</v>
      </c>
      <c r="G528">
        <v>36</v>
      </c>
      <c r="H528">
        <v>318</v>
      </c>
      <c r="I528">
        <v>29</v>
      </c>
      <c r="J528" t="s">
        <v>15</v>
      </c>
      <c r="K528">
        <v>2</v>
      </c>
    </row>
    <row r="529" spans="1:11" x14ac:dyDescent="0.25">
      <c r="A529">
        <v>528</v>
      </c>
      <c r="B529" t="s">
        <v>17</v>
      </c>
      <c r="C529" t="s">
        <v>18</v>
      </c>
      <c r="D529">
        <v>44</v>
      </c>
      <c r="E529">
        <v>1.2</v>
      </c>
      <c r="F529">
        <v>466</v>
      </c>
      <c r="G529">
        <v>10</v>
      </c>
      <c r="H529">
        <v>131</v>
      </c>
      <c r="I529">
        <v>57</v>
      </c>
      <c r="J529" t="s">
        <v>15</v>
      </c>
      <c r="K529">
        <v>1</v>
      </c>
    </row>
    <row r="530" spans="1:11" x14ac:dyDescent="0.25">
      <c r="A530">
        <v>529</v>
      </c>
      <c r="B530" t="s">
        <v>11</v>
      </c>
      <c r="C530" t="s">
        <v>12</v>
      </c>
      <c r="D530">
        <v>175</v>
      </c>
      <c r="E530">
        <v>3</v>
      </c>
      <c r="F530">
        <v>801</v>
      </c>
      <c r="G530">
        <v>32</v>
      </c>
      <c r="H530">
        <v>338</v>
      </c>
      <c r="I530">
        <v>24</v>
      </c>
      <c r="J530" t="s">
        <v>13</v>
      </c>
      <c r="K530">
        <v>2</v>
      </c>
    </row>
    <row r="531" spans="1:11" x14ac:dyDescent="0.25">
      <c r="A531">
        <v>530</v>
      </c>
      <c r="B531" t="s">
        <v>11</v>
      </c>
      <c r="C531" t="s">
        <v>12</v>
      </c>
      <c r="D531">
        <v>228</v>
      </c>
      <c r="E531">
        <v>4.8</v>
      </c>
      <c r="F531">
        <v>1639</v>
      </c>
      <c r="G531">
        <v>47</v>
      </c>
      <c r="H531">
        <v>796</v>
      </c>
      <c r="I531">
        <v>42</v>
      </c>
      <c r="J531" t="s">
        <v>15</v>
      </c>
      <c r="K531">
        <v>3</v>
      </c>
    </row>
    <row r="532" spans="1:11" x14ac:dyDescent="0.25">
      <c r="A532">
        <v>531</v>
      </c>
      <c r="B532" t="s">
        <v>16</v>
      </c>
      <c r="C532" t="s">
        <v>12</v>
      </c>
      <c r="D532">
        <v>589</v>
      </c>
      <c r="E532">
        <v>11.8</v>
      </c>
      <c r="F532">
        <v>2629</v>
      </c>
      <c r="G532">
        <v>86</v>
      </c>
      <c r="H532">
        <v>2479</v>
      </c>
      <c r="I532">
        <v>43</v>
      </c>
      <c r="J532" t="s">
        <v>15</v>
      </c>
      <c r="K532">
        <v>5</v>
      </c>
    </row>
    <row r="533" spans="1:11" x14ac:dyDescent="0.25">
      <c r="A533">
        <v>532</v>
      </c>
      <c r="B533" t="s">
        <v>14</v>
      </c>
      <c r="C533" t="s">
        <v>12</v>
      </c>
      <c r="D533">
        <v>339</v>
      </c>
      <c r="E533">
        <v>7.9</v>
      </c>
      <c r="F533">
        <v>1987</v>
      </c>
      <c r="G533">
        <v>66</v>
      </c>
      <c r="H533">
        <v>1191</v>
      </c>
      <c r="I533">
        <v>47</v>
      </c>
      <c r="J533" t="s">
        <v>13</v>
      </c>
      <c r="K533">
        <v>4</v>
      </c>
    </row>
    <row r="534" spans="1:11" x14ac:dyDescent="0.25">
      <c r="A534">
        <v>533</v>
      </c>
      <c r="B534" t="s">
        <v>17</v>
      </c>
      <c r="C534" t="s">
        <v>18</v>
      </c>
      <c r="D534">
        <v>431</v>
      </c>
      <c r="E534">
        <v>6.4</v>
      </c>
      <c r="F534">
        <v>2206</v>
      </c>
      <c r="G534">
        <v>66</v>
      </c>
      <c r="H534">
        <v>1200</v>
      </c>
      <c r="I534">
        <v>23</v>
      </c>
      <c r="J534" t="s">
        <v>15</v>
      </c>
      <c r="K534">
        <v>4</v>
      </c>
    </row>
    <row r="535" spans="1:11" x14ac:dyDescent="0.25">
      <c r="A535">
        <v>534</v>
      </c>
      <c r="B535" t="s">
        <v>16</v>
      </c>
      <c r="C535" t="s">
        <v>12</v>
      </c>
      <c r="D535">
        <v>190</v>
      </c>
      <c r="E535">
        <v>4.7</v>
      </c>
      <c r="F535">
        <v>1276</v>
      </c>
      <c r="G535">
        <v>57</v>
      </c>
      <c r="H535">
        <v>915</v>
      </c>
      <c r="I535">
        <v>22</v>
      </c>
      <c r="J535" t="s">
        <v>15</v>
      </c>
      <c r="K535">
        <v>3</v>
      </c>
    </row>
    <row r="536" spans="1:11" x14ac:dyDescent="0.25">
      <c r="A536">
        <v>535</v>
      </c>
      <c r="B536" t="s">
        <v>14</v>
      </c>
      <c r="C536" t="s">
        <v>12</v>
      </c>
      <c r="D536">
        <v>389</v>
      </c>
      <c r="E536">
        <v>6.1</v>
      </c>
      <c r="F536">
        <v>2087</v>
      </c>
      <c r="G536">
        <v>67</v>
      </c>
      <c r="H536">
        <v>1383</v>
      </c>
      <c r="I536">
        <v>30</v>
      </c>
      <c r="J536" t="s">
        <v>13</v>
      </c>
      <c r="K536">
        <v>4</v>
      </c>
    </row>
    <row r="537" spans="1:11" x14ac:dyDescent="0.25">
      <c r="A537">
        <v>536</v>
      </c>
      <c r="B537" t="s">
        <v>19</v>
      </c>
      <c r="C537" t="s">
        <v>12</v>
      </c>
      <c r="D537">
        <v>139</v>
      </c>
      <c r="E537">
        <v>3.3</v>
      </c>
      <c r="F537">
        <v>937</v>
      </c>
      <c r="G537">
        <v>24</v>
      </c>
      <c r="H537">
        <v>573</v>
      </c>
      <c r="I537">
        <v>25</v>
      </c>
      <c r="J537" t="s">
        <v>15</v>
      </c>
      <c r="K537">
        <v>2</v>
      </c>
    </row>
    <row r="538" spans="1:11" x14ac:dyDescent="0.25">
      <c r="A538">
        <v>537</v>
      </c>
      <c r="B538" t="s">
        <v>19</v>
      </c>
      <c r="C538" t="s">
        <v>12</v>
      </c>
      <c r="D538">
        <v>289</v>
      </c>
      <c r="E538">
        <v>5.9</v>
      </c>
      <c r="F538">
        <v>1528</v>
      </c>
      <c r="G538">
        <v>48</v>
      </c>
      <c r="H538">
        <v>915</v>
      </c>
      <c r="I538">
        <v>30</v>
      </c>
      <c r="J538" t="s">
        <v>13</v>
      </c>
      <c r="K538">
        <v>3</v>
      </c>
    </row>
    <row r="539" spans="1:11" x14ac:dyDescent="0.25">
      <c r="A539">
        <v>538</v>
      </c>
      <c r="B539" t="s">
        <v>19</v>
      </c>
      <c r="C539" t="s">
        <v>12</v>
      </c>
      <c r="D539">
        <v>593</v>
      </c>
      <c r="E539">
        <v>11.1</v>
      </c>
      <c r="F539">
        <v>2672</v>
      </c>
      <c r="G539">
        <v>82</v>
      </c>
      <c r="H539">
        <v>2258</v>
      </c>
      <c r="I539">
        <v>34</v>
      </c>
      <c r="J539" t="s">
        <v>15</v>
      </c>
      <c r="K539">
        <v>5</v>
      </c>
    </row>
    <row r="540" spans="1:11" x14ac:dyDescent="0.25">
      <c r="A540">
        <v>539</v>
      </c>
      <c r="B540" t="s">
        <v>11</v>
      </c>
      <c r="C540" t="s">
        <v>12</v>
      </c>
      <c r="D540">
        <v>576</v>
      </c>
      <c r="E540">
        <v>9.5</v>
      </c>
      <c r="F540">
        <v>2638</v>
      </c>
      <c r="G540">
        <v>98</v>
      </c>
      <c r="H540">
        <v>2281</v>
      </c>
      <c r="I540">
        <v>38</v>
      </c>
      <c r="J540" t="s">
        <v>15</v>
      </c>
      <c r="K540">
        <v>5</v>
      </c>
    </row>
    <row r="541" spans="1:11" x14ac:dyDescent="0.25">
      <c r="A541">
        <v>540</v>
      </c>
      <c r="B541" t="s">
        <v>14</v>
      </c>
      <c r="C541" t="s">
        <v>12</v>
      </c>
      <c r="D541">
        <v>592</v>
      </c>
      <c r="E541">
        <v>9.4</v>
      </c>
      <c r="F541">
        <v>2867</v>
      </c>
      <c r="G541">
        <v>95</v>
      </c>
      <c r="H541">
        <v>1701</v>
      </c>
      <c r="I541">
        <v>27</v>
      </c>
      <c r="J541" t="s">
        <v>15</v>
      </c>
      <c r="K541">
        <v>5</v>
      </c>
    </row>
    <row r="542" spans="1:11" x14ac:dyDescent="0.25">
      <c r="A542">
        <v>541</v>
      </c>
      <c r="B542" t="s">
        <v>17</v>
      </c>
      <c r="C542" t="s">
        <v>18</v>
      </c>
      <c r="D542">
        <v>567</v>
      </c>
      <c r="E542">
        <v>10.5</v>
      </c>
      <c r="F542">
        <v>2817</v>
      </c>
      <c r="G542">
        <v>89</v>
      </c>
      <c r="H542">
        <v>2194</v>
      </c>
      <c r="I542">
        <v>52</v>
      </c>
      <c r="J542" t="s">
        <v>13</v>
      </c>
      <c r="K542">
        <v>5</v>
      </c>
    </row>
    <row r="543" spans="1:11" x14ac:dyDescent="0.25">
      <c r="A543">
        <v>542</v>
      </c>
      <c r="B543" t="s">
        <v>17</v>
      </c>
      <c r="C543" t="s">
        <v>18</v>
      </c>
      <c r="D543">
        <v>170</v>
      </c>
      <c r="E543">
        <v>2.5</v>
      </c>
      <c r="F543">
        <v>740</v>
      </c>
      <c r="G543">
        <v>21</v>
      </c>
      <c r="H543">
        <v>537</v>
      </c>
      <c r="I543">
        <v>25</v>
      </c>
      <c r="J543" t="s">
        <v>15</v>
      </c>
      <c r="K543">
        <v>2</v>
      </c>
    </row>
    <row r="544" spans="1:11" x14ac:dyDescent="0.25">
      <c r="A544">
        <v>543</v>
      </c>
      <c r="B544" t="s">
        <v>11</v>
      </c>
      <c r="C544" t="s">
        <v>12</v>
      </c>
      <c r="D544">
        <v>242</v>
      </c>
      <c r="E544">
        <v>5.4</v>
      </c>
      <c r="F544">
        <v>1307</v>
      </c>
      <c r="G544">
        <v>48</v>
      </c>
      <c r="H544">
        <v>642</v>
      </c>
      <c r="I544">
        <v>28</v>
      </c>
      <c r="J544" t="s">
        <v>13</v>
      </c>
      <c r="K544">
        <v>3</v>
      </c>
    </row>
    <row r="545" spans="1:11" x14ac:dyDescent="0.25">
      <c r="A545">
        <v>544</v>
      </c>
      <c r="B545" t="s">
        <v>19</v>
      </c>
      <c r="C545" t="s">
        <v>12</v>
      </c>
      <c r="D545">
        <v>275</v>
      </c>
      <c r="E545">
        <v>5.5</v>
      </c>
      <c r="F545">
        <v>1616</v>
      </c>
      <c r="G545">
        <v>48</v>
      </c>
      <c r="H545">
        <v>656</v>
      </c>
      <c r="I545">
        <v>55</v>
      </c>
      <c r="J545" t="s">
        <v>13</v>
      </c>
      <c r="K545">
        <v>3</v>
      </c>
    </row>
    <row r="546" spans="1:11" x14ac:dyDescent="0.25">
      <c r="A546">
        <v>545</v>
      </c>
      <c r="B546" t="s">
        <v>11</v>
      </c>
      <c r="C546" t="s">
        <v>12</v>
      </c>
      <c r="D546">
        <v>544</v>
      </c>
      <c r="E546">
        <v>9.6999999999999993</v>
      </c>
      <c r="F546">
        <v>2633</v>
      </c>
      <c r="G546">
        <v>97</v>
      </c>
      <c r="H546">
        <v>1727</v>
      </c>
      <c r="I546">
        <v>28</v>
      </c>
      <c r="J546" t="s">
        <v>15</v>
      </c>
      <c r="K546">
        <v>5</v>
      </c>
    </row>
    <row r="547" spans="1:11" x14ac:dyDescent="0.25">
      <c r="A547">
        <v>546</v>
      </c>
      <c r="B547" t="s">
        <v>14</v>
      </c>
      <c r="C547" t="s">
        <v>12</v>
      </c>
      <c r="D547">
        <v>50</v>
      </c>
      <c r="E547">
        <v>2</v>
      </c>
      <c r="F547">
        <v>362</v>
      </c>
      <c r="G547">
        <v>17</v>
      </c>
      <c r="H547">
        <v>182</v>
      </c>
      <c r="I547">
        <v>34</v>
      </c>
      <c r="J547" t="s">
        <v>15</v>
      </c>
      <c r="K547">
        <v>1</v>
      </c>
    </row>
    <row r="548" spans="1:11" x14ac:dyDescent="0.25">
      <c r="A548">
        <v>547</v>
      </c>
      <c r="B548" t="s">
        <v>14</v>
      </c>
      <c r="C548" t="s">
        <v>12</v>
      </c>
      <c r="D548">
        <v>236</v>
      </c>
      <c r="E548">
        <v>4.5999999999999996</v>
      </c>
      <c r="F548">
        <v>1750</v>
      </c>
      <c r="G548">
        <v>45</v>
      </c>
      <c r="H548">
        <v>971</v>
      </c>
      <c r="I548">
        <v>21</v>
      </c>
      <c r="J548" t="s">
        <v>15</v>
      </c>
      <c r="K548">
        <v>3</v>
      </c>
    </row>
    <row r="549" spans="1:11" x14ac:dyDescent="0.25">
      <c r="A549">
        <v>548</v>
      </c>
      <c r="B549" t="s">
        <v>17</v>
      </c>
      <c r="C549" t="s">
        <v>18</v>
      </c>
      <c r="D549">
        <v>139</v>
      </c>
      <c r="E549">
        <v>2.6</v>
      </c>
      <c r="F549">
        <v>658</v>
      </c>
      <c r="G549">
        <v>33</v>
      </c>
      <c r="H549">
        <v>358</v>
      </c>
      <c r="I549">
        <v>58</v>
      </c>
      <c r="J549" t="s">
        <v>15</v>
      </c>
      <c r="K549">
        <v>2</v>
      </c>
    </row>
    <row r="550" spans="1:11" x14ac:dyDescent="0.25">
      <c r="A550">
        <v>549</v>
      </c>
      <c r="B550" t="s">
        <v>11</v>
      </c>
      <c r="C550" t="s">
        <v>12</v>
      </c>
      <c r="D550">
        <v>383</v>
      </c>
      <c r="E550">
        <v>6.6</v>
      </c>
      <c r="F550">
        <v>2155</v>
      </c>
      <c r="G550">
        <v>74</v>
      </c>
      <c r="H550">
        <v>1360</v>
      </c>
      <c r="I550">
        <v>45</v>
      </c>
      <c r="J550" t="s">
        <v>13</v>
      </c>
      <c r="K550">
        <v>4</v>
      </c>
    </row>
    <row r="551" spans="1:11" x14ac:dyDescent="0.25">
      <c r="A551">
        <v>550</v>
      </c>
      <c r="B551" t="s">
        <v>19</v>
      </c>
      <c r="C551" t="s">
        <v>12</v>
      </c>
      <c r="D551">
        <v>172</v>
      </c>
      <c r="E551">
        <v>4</v>
      </c>
      <c r="F551">
        <v>1047</v>
      </c>
      <c r="G551">
        <v>32</v>
      </c>
      <c r="H551">
        <v>508</v>
      </c>
      <c r="I551">
        <v>21</v>
      </c>
      <c r="J551" t="s">
        <v>15</v>
      </c>
      <c r="K551">
        <v>2</v>
      </c>
    </row>
    <row r="552" spans="1:11" x14ac:dyDescent="0.25">
      <c r="A552">
        <v>551</v>
      </c>
      <c r="B552" t="s">
        <v>16</v>
      </c>
      <c r="C552" t="s">
        <v>12</v>
      </c>
      <c r="D552">
        <v>455</v>
      </c>
      <c r="E552">
        <v>6.2</v>
      </c>
      <c r="F552">
        <v>1984</v>
      </c>
      <c r="G552">
        <v>72</v>
      </c>
      <c r="H552">
        <v>1287</v>
      </c>
      <c r="I552">
        <v>42</v>
      </c>
      <c r="J552" t="s">
        <v>13</v>
      </c>
      <c r="K552">
        <v>4</v>
      </c>
    </row>
    <row r="553" spans="1:11" x14ac:dyDescent="0.25">
      <c r="A553">
        <v>552</v>
      </c>
      <c r="B553" t="s">
        <v>19</v>
      </c>
      <c r="C553" t="s">
        <v>12</v>
      </c>
      <c r="D553">
        <v>157</v>
      </c>
      <c r="E553">
        <v>2.5</v>
      </c>
      <c r="F553">
        <v>1110</v>
      </c>
      <c r="G553">
        <v>30</v>
      </c>
      <c r="H553">
        <v>373</v>
      </c>
      <c r="I553">
        <v>37</v>
      </c>
      <c r="J553" t="s">
        <v>15</v>
      </c>
      <c r="K553">
        <v>2</v>
      </c>
    </row>
    <row r="554" spans="1:11" x14ac:dyDescent="0.25">
      <c r="A554">
        <v>553</v>
      </c>
      <c r="B554" t="s">
        <v>17</v>
      </c>
      <c r="C554" t="s">
        <v>18</v>
      </c>
      <c r="D554">
        <v>173</v>
      </c>
      <c r="E554">
        <v>3.8</v>
      </c>
      <c r="F554">
        <v>605</v>
      </c>
      <c r="G554">
        <v>23</v>
      </c>
      <c r="H554">
        <v>583</v>
      </c>
      <c r="I554">
        <v>32</v>
      </c>
      <c r="J554" t="s">
        <v>13</v>
      </c>
      <c r="K554">
        <v>2</v>
      </c>
    </row>
    <row r="555" spans="1:11" x14ac:dyDescent="0.25">
      <c r="A555">
        <v>554</v>
      </c>
      <c r="B555" t="s">
        <v>19</v>
      </c>
      <c r="C555" t="s">
        <v>12</v>
      </c>
      <c r="D555">
        <v>405</v>
      </c>
      <c r="E555">
        <v>7.3</v>
      </c>
      <c r="F555">
        <v>2082</v>
      </c>
      <c r="G555">
        <v>75</v>
      </c>
      <c r="H555">
        <v>1162</v>
      </c>
      <c r="I555">
        <v>37</v>
      </c>
      <c r="J555" t="s">
        <v>15</v>
      </c>
      <c r="K555">
        <v>4</v>
      </c>
    </row>
    <row r="556" spans="1:11" x14ac:dyDescent="0.25">
      <c r="A556">
        <v>555</v>
      </c>
      <c r="B556" t="s">
        <v>17</v>
      </c>
      <c r="C556" t="s">
        <v>18</v>
      </c>
      <c r="D556">
        <v>387</v>
      </c>
      <c r="E556">
        <v>6.6</v>
      </c>
      <c r="F556">
        <v>2168</v>
      </c>
      <c r="G556">
        <v>61</v>
      </c>
      <c r="H556">
        <v>1246</v>
      </c>
      <c r="I556">
        <v>19</v>
      </c>
      <c r="J556" t="s">
        <v>15</v>
      </c>
      <c r="K556">
        <v>4</v>
      </c>
    </row>
    <row r="557" spans="1:11" x14ac:dyDescent="0.25">
      <c r="A557">
        <v>556</v>
      </c>
      <c r="B557" t="s">
        <v>16</v>
      </c>
      <c r="C557" t="s">
        <v>12</v>
      </c>
      <c r="D557">
        <v>201</v>
      </c>
      <c r="E557">
        <v>4.9000000000000004</v>
      </c>
      <c r="F557">
        <v>1633</v>
      </c>
      <c r="G557">
        <v>41</v>
      </c>
      <c r="H557">
        <v>972</v>
      </c>
      <c r="I557">
        <v>32</v>
      </c>
      <c r="J557" t="s">
        <v>15</v>
      </c>
      <c r="K557">
        <v>3</v>
      </c>
    </row>
    <row r="558" spans="1:11" x14ac:dyDescent="0.25">
      <c r="A558">
        <v>557</v>
      </c>
      <c r="B558" t="s">
        <v>17</v>
      </c>
      <c r="C558" t="s">
        <v>18</v>
      </c>
      <c r="D558">
        <v>142</v>
      </c>
      <c r="E558">
        <v>3.5</v>
      </c>
      <c r="F558">
        <v>625</v>
      </c>
      <c r="G558">
        <v>25</v>
      </c>
      <c r="H558">
        <v>370</v>
      </c>
      <c r="I558">
        <v>40</v>
      </c>
      <c r="J558" t="s">
        <v>15</v>
      </c>
      <c r="K558">
        <v>2</v>
      </c>
    </row>
    <row r="559" spans="1:11" x14ac:dyDescent="0.25">
      <c r="A559">
        <v>558</v>
      </c>
      <c r="B559" t="s">
        <v>19</v>
      </c>
      <c r="C559" t="s">
        <v>12</v>
      </c>
      <c r="D559">
        <v>198</v>
      </c>
      <c r="E559">
        <v>4.2</v>
      </c>
      <c r="F559">
        <v>1392</v>
      </c>
      <c r="G559">
        <v>43</v>
      </c>
      <c r="H559">
        <v>640</v>
      </c>
      <c r="I559">
        <v>27</v>
      </c>
      <c r="J559" t="s">
        <v>13</v>
      </c>
      <c r="K559">
        <v>3</v>
      </c>
    </row>
    <row r="560" spans="1:11" x14ac:dyDescent="0.25">
      <c r="A560">
        <v>559</v>
      </c>
      <c r="B560" t="s">
        <v>11</v>
      </c>
      <c r="C560" t="s">
        <v>12</v>
      </c>
      <c r="D560">
        <v>361</v>
      </c>
      <c r="E560">
        <v>7.6</v>
      </c>
      <c r="F560">
        <v>2037</v>
      </c>
      <c r="G560">
        <v>65</v>
      </c>
      <c r="H560">
        <v>1056</v>
      </c>
      <c r="I560">
        <v>55</v>
      </c>
      <c r="J560" t="s">
        <v>13</v>
      </c>
      <c r="K560">
        <v>4</v>
      </c>
    </row>
    <row r="561" spans="1:11" x14ac:dyDescent="0.25">
      <c r="A561">
        <v>560</v>
      </c>
      <c r="B561" t="s">
        <v>14</v>
      </c>
      <c r="C561" t="s">
        <v>12</v>
      </c>
      <c r="D561">
        <v>553</v>
      </c>
      <c r="E561">
        <v>11.6</v>
      </c>
      <c r="F561">
        <v>2914</v>
      </c>
      <c r="G561">
        <v>81</v>
      </c>
      <c r="H561">
        <v>1860</v>
      </c>
      <c r="I561">
        <v>47</v>
      </c>
      <c r="J561" t="s">
        <v>13</v>
      </c>
      <c r="K561">
        <v>5</v>
      </c>
    </row>
    <row r="562" spans="1:11" x14ac:dyDescent="0.25">
      <c r="A562">
        <v>561</v>
      </c>
      <c r="B562" t="s">
        <v>19</v>
      </c>
      <c r="C562" t="s">
        <v>12</v>
      </c>
      <c r="D562">
        <v>408</v>
      </c>
      <c r="E562">
        <v>6.2</v>
      </c>
      <c r="F562">
        <v>2245</v>
      </c>
      <c r="G562">
        <v>69</v>
      </c>
      <c r="H562">
        <v>1103</v>
      </c>
      <c r="I562">
        <v>38</v>
      </c>
      <c r="J562" t="s">
        <v>15</v>
      </c>
      <c r="K562">
        <v>4</v>
      </c>
    </row>
    <row r="563" spans="1:11" x14ac:dyDescent="0.25">
      <c r="A563">
        <v>562</v>
      </c>
      <c r="B563" t="s">
        <v>16</v>
      </c>
      <c r="C563" t="s">
        <v>12</v>
      </c>
      <c r="D563">
        <v>121</v>
      </c>
      <c r="E563">
        <v>2.1</v>
      </c>
      <c r="F563">
        <v>1188</v>
      </c>
      <c r="G563">
        <v>21</v>
      </c>
      <c r="H563">
        <v>578</v>
      </c>
      <c r="I563">
        <v>18</v>
      </c>
      <c r="J563" t="s">
        <v>13</v>
      </c>
      <c r="K563">
        <v>2</v>
      </c>
    </row>
    <row r="564" spans="1:11" x14ac:dyDescent="0.25">
      <c r="A564">
        <v>563</v>
      </c>
      <c r="B564" t="s">
        <v>11</v>
      </c>
      <c r="C564" t="s">
        <v>12</v>
      </c>
      <c r="D564">
        <v>71</v>
      </c>
      <c r="E564">
        <v>1.4</v>
      </c>
      <c r="F564">
        <v>508</v>
      </c>
      <c r="G564">
        <v>15</v>
      </c>
      <c r="H564">
        <v>265</v>
      </c>
      <c r="I564">
        <v>33</v>
      </c>
      <c r="J564" t="s">
        <v>15</v>
      </c>
      <c r="K564">
        <v>1</v>
      </c>
    </row>
    <row r="565" spans="1:11" x14ac:dyDescent="0.25">
      <c r="A565">
        <v>564</v>
      </c>
      <c r="B565" t="s">
        <v>17</v>
      </c>
      <c r="C565" t="s">
        <v>18</v>
      </c>
      <c r="D565">
        <v>46</v>
      </c>
      <c r="E565">
        <v>1.6</v>
      </c>
      <c r="F565">
        <v>440</v>
      </c>
      <c r="G565">
        <v>10</v>
      </c>
      <c r="H565">
        <v>265</v>
      </c>
      <c r="I565">
        <v>31</v>
      </c>
      <c r="J565" t="s">
        <v>13</v>
      </c>
      <c r="K565">
        <v>1</v>
      </c>
    </row>
    <row r="566" spans="1:11" x14ac:dyDescent="0.25">
      <c r="A566">
        <v>565</v>
      </c>
      <c r="B566" t="s">
        <v>16</v>
      </c>
      <c r="C566" t="s">
        <v>12</v>
      </c>
      <c r="D566">
        <v>290</v>
      </c>
      <c r="E566">
        <v>4.4000000000000004</v>
      </c>
      <c r="F566">
        <v>1272</v>
      </c>
      <c r="G566">
        <v>55</v>
      </c>
      <c r="H566">
        <v>910</v>
      </c>
      <c r="I566">
        <v>44</v>
      </c>
      <c r="J566" t="s">
        <v>13</v>
      </c>
      <c r="K566">
        <v>3</v>
      </c>
    </row>
    <row r="567" spans="1:11" x14ac:dyDescent="0.25">
      <c r="A567">
        <v>566</v>
      </c>
      <c r="B567" t="s">
        <v>19</v>
      </c>
      <c r="C567" t="s">
        <v>12</v>
      </c>
      <c r="D567">
        <v>60</v>
      </c>
      <c r="E567">
        <v>1.3</v>
      </c>
      <c r="F567">
        <v>462</v>
      </c>
      <c r="G567">
        <v>15</v>
      </c>
      <c r="H567">
        <v>296</v>
      </c>
      <c r="I567">
        <v>40</v>
      </c>
      <c r="J567" t="s">
        <v>13</v>
      </c>
      <c r="K567">
        <v>1</v>
      </c>
    </row>
    <row r="568" spans="1:11" x14ac:dyDescent="0.25">
      <c r="A568">
        <v>567</v>
      </c>
      <c r="B568" t="s">
        <v>11</v>
      </c>
      <c r="C568" t="s">
        <v>12</v>
      </c>
      <c r="D568">
        <v>116</v>
      </c>
      <c r="E568">
        <v>3.9</v>
      </c>
      <c r="F568">
        <v>1132</v>
      </c>
      <c r="G568">
        <v>26</v>
      </c>
      <c r="H568">
        <v>498</v>
      </c>
      <c r="I568">
        <v>35</v>
      </c>
      <c r="J568" t="s">
        <v>15</v>
      </c>
      <c r="K568">
        <v>2</v>
      </c>
    </row>
    <row r="569" spans="1:11" x14ac:dyDescent="0.25">
      <c r="A569">
        <v>568</v>
      </c>
      <c r="B569" t="s">
        <v>14</v>
      </c>
      <c r="C569" t="s">
        <v>12</v>
      </c>
      <c r="D569">
        <v>86</v>
      </c>
      <c r="E569">
        <v>1.7</v>
      </c>
      <c r="F569">
        <v>312</v>
      </c>
      <c r="G569">
        <v>16</v>
      </c>
      <c r="H569">
        <v>227</v>
      </c>
      <c r="I569">
        <v>32</v>
      </c>
      <c r="J569" t="s">
        <v>13</v>
      </c>
      <c r="K569">
        <v>1</v>
      </c>
    </row>
    <row r="570" spans="1:11" x14ac:dyDescent="0.25">
      <c r="A570">
        <v>569</v>
      </c>
      <c r="B570" t="s">
        <v>11</v>
      </c>
      <c r="C570" t="s">
        <v>12</v>
      </c>
      <c r="D570">
        <v>291</v>
      </c>
      <c r="E570">
        <v>5.3</v>
      </c>
      <c r="F570">
        <v>1537</v>
      </c>
      <c r="G570">
        <v>43</v>
      </c>
      <c r="H570">
        <v>700</v>
      </c>
      <c r="I570">
        <v>49</v>
      </c>
      <c r="J570" t="s">
        <v>15</v>
      </c>
      <c r="K570">
        <v>3</v>
      </c>
    </row>
    <row r="571" spans="1:11" x14ac:dyDescent="0.25">
      <c r="A571">
        <v>570</v>
      </c>
      <c r="B571" t="s">
        <v>11</v>
      </c>
      <c r="C571" t="s">
        <v>12</v>
      </c>
      <c r="D571">
        <v>404</v>
      </c>
      <c r="E571">
        <v>6.6</v>
      </c>
      <c r="F571">
        <v>2181</v>
      </c>
      <c r="G571">
        <v>77</v>
      </c>
      <c r="H571">
        <v>1327</v>
      </c>
      <c r="I571">
        <v>18</v>
      </c>
      <c r="J571" t="s">
        <v>13</v>
      </c>
      <c r="K571">
        <v>4</v>
      </c>
    </row>
    <row r="572" spans="1:11" x14ac:dyDescent="0.25">
      <c r="A572">
        <v>571</v>
      </c>
      <c r="B572" t="s">
        <v>14</v>
      </c>
      <c r="C572" t="s">
        <v>12</v>
      </c>
      <c r="D572">
        <v>441</v>
      </c>
      <c r="E572">
        <v>7.1</v>
      </c>
      <c r="F572">
        <v>1928</v>
      </c>
      <c r="G572">
        <v>74</v>
      </c>
      <c r="H572">
        <v>1421</v>
      </c>
      <c r="I572">
        <v>57</v>
      </c>
      <c r="J572" t="s">
        <v>13</v>
      </c>
      <c r="K572">
        <v>4</v>
      </c>
    </row>
    <row r="573" spans="1:11" x14ac:dyDescent="0.25">
      <c r="A573">
        <v>572</v>
      </c>
      <c r="B573" t="s">
        <v>11</v>
      </c>
      <c r="C573" t="s">
        <v>12</v>
      </c>
      <c r="D573">
        <v>444</v>
      </c>
      <c r="E573">
        <v>6.1</v>
      </c>
      <c r="F573">
        <v>2229</v>
      </c>
      <c r="G573">
        <v>73</v>
      </c>
      <c r="H573">
        <v>1194</v>
      </c>
      <c r="I573">
        <v>25</v>
      </c>
      <c r="J573" t="s">
        <v>15</v>
      </c>
      <c r="K573">
        <v>4</v>
      </c>
    </row>
    <row r="574" spans="1:11" x14ac:dyDescent="0.25">
      <c r="A574">
        <v>573</v>
      </c>
      <c r="B574" t="s">
        <v>14</v>
      </c>
      <c r="C574" t="s">
        <v>12</v>
      </c>
      <c r="D574">
        <v>211</v>
      </c>
      <c r="E574">
        <v>5.9</v>
      </c>
      <c r="F574">
        <v>1757</v>
      </c>
      <c r="G574">
        <v>42</v>
      </c>
      <c r="H574">
        <v>864</v>
      </c>
      <c r="I574">
        <v>56</v>
      </c>
      <c r="J574" t="s">
        <v>15</v>
      </c>
      <c r="K574">
        <v>3</v>
      </c>
    </row>
    <row r="575" spans="1:11" x14ac:dyDescent="0.25">
      <c r="A575">
        <v>574</v>
      </c>
      <c r="B575" t="s">
        <v>19</v>
      </c>
      <c r="C575" t="s">
        <v>12</v>
      </c>
      <c r="D575">
        <v>537</v>
      </c>
      <c r="E575">
        <v>9.1</v>
      </c>
      <c r="F575">
        <v>2858</v>
      </c>
      <c r="G575">
        <v>86</v>
      </c>
      <c r="H575">
        <v>2158</v>
      </c>
      <c r="I575">
        <v>22</v>
      </c>
      <c r="J575" t="s">
        <v>13</v>
      </c>
      <c r="K575">
        <v>5</v>
      </c>
    </row>
    <row r="576" spans="1:11" x14ac:dyDescent="0.25">
      <c r="A576">
        <v>575</v>
      </c>
      <c r="B576" t="s">
        <v>16</v>
      </c>
      <c r="C576" t="s">
        <v>12</v>
      </c>
      <c r="D576">
        <v>519</v>
      </c>
      <c r="E576">
        <v>10.9</v>
      </c>
      <c r="F576">
        <v>2571</v>
      </c>
      <c r="G576">
        <v>93</v>
      </c>
      <c r="H576">
        <v>2163</v>
      </c>
      <c r="I576">
        <v>47</v>
      </c>
      <c r="J576" t="s">
        <v>15</v>
      </c>
      <c r="K576">
        <v>5</v>
      </c>
    </row>
    <row r="577" spans="1:11" x14ac:dyDescent="0.25">
      <c r="A577">
        <v>576</v>
      </c>
      <c r="B577" t="s">
        <v>19</v>
      </c>
      <c r="C577" t="s">
        <v>12</v>
      </c>
      <c r="D577">
        <v>94</v>
      </c>
      <c r="E577">
        <v>3.5</v>
      </c>
      <c r="F577">
        <v>606</v>
      </c>
      <c r="G577">
        <v>30</v>
      </c>
      <c r="H577">
        <v>446</v>
      </c>
      <c r="I577">
        <v>49</v>
      </c>
      <c r="J577" t="s">
        <v>13</v>
      </c>
      <c r="K577">
        <v>2</v>
      </c>
    </row>
    <row r="578" spans="1:11" x14ac:dyDescent="0.25">
      <c r="A578">
        <v>577</v>
      </c>
      <c r="B578" t="s">
        <v>11</v>
      </c>
      <c r="C578" t="s">
        <v>12</v>
      </c>
      <c r="D578">
        <v>554</v>
      </c>
      <c r="E578">
        <v>10.3</v>
      </c>
      <c r="F578">
        <v>2776</v>
      </c>
      <c r="G578">
        <v>83</v>
      </c>
      <c r="H578">
        <v>1606</v>
      </c>
      <c r="I578">
        <v>34</v>
      </c>
      <c r="J578" t="s">
        <v>15</v>
      </c>
      <c r="K578">
        <v>5</v>
      </c>
    </row>
    <row r="579" spans="1:11" x14ac:dyDescent="0.25">
      <c r="A579">
        <v>578</v>
      </c>
      <c r="B579" t="s">
        <v>17</v>
      </c>
      <c r="C579" t="s">
        <v>18</v>
      </c>
      <c r="D579">
        <v>381</v>
      </c>
      <c r="E579">
        <v>7.5</v>
      </c>
      <c r="F579">
        <v>2216</v>
      </c>
      <c r="G579">
        <v>66</v>
      </c>
      <c r="H579">
        <v>1291</v>
      </c>
      <c r="I579">
        <v>37</v>
      </c>
      <c r="J579" t="s">
        <v>15</v>
      </c>
      <c r="K579">
        <v>4</v>
      </c>
    </row>
    <row r="580" spans="1:11" x14ac:dyDescent="0.25">
      <c r="A580">
        <v>579</v>
      </c>
      <c r="B580" t="s">
        <v>14</v>
      </c>
      <c r="C580" t="s">
        <v>12</v>
      </c>
      <c r="D580">
        <v>257</v>
      </c>
      <c r="E580">
        <v>6</v>
      </c>
      <c r="F580">
        <v>1715</v>
      </c>
      <c r="G580">
        <v>49</v>
      </c>
      <c r="H580">
        <v>916</v>
      </c>
      <c r="I580">
        <v>40</v>
      </c>
      <c r="J580" t="s">
        <v>15</v>
      </c>
      <c r="K580">
        <v>3</v>
      </c>
    </row>
    <row r="581" spans="1:11" x14ac:dyDescent="0.25">
      <c r="A581">
        <v>580</v>
      </c>
      <c r="B581" t="s">
        <v>19</v>
      </c>
      <c r="C581" t="s">
        <v>12</v>
      </c>
      <c r="D581">
        <v>47</v>
      </c>
      <c r="E581">
        <v>1.1000000000000001</v>
      </c>
      <c r="F581">
        <v>532</v>
      </c>
      <c r="G581">
        <v>18</v>
      </c>
      <c r="H581">
        <v>122</v>
      </c>
      <c r="I581">
        <v>36</v>
      </c>
      <c r="J581" t="s">
        <v>13</v>
      </c>
      <c r="K581">
        <v>1</v>
      </c>
    </row>
    <row r="582" spans="1:11" x14ac:dyDescent="0.25">
      <c r="A582">
        <v>581</v>
      </c>
      <c r="B582" t="s">
        <v>17</v>
      </c>
      <c r="C582" t="s">
        <v>18</v>
      </c>
      <c r="D582">
        <v>527</v>
      </c>
      <c r="E582">
        <v>10</v>
      </c>
      <c r="F582">
        <v>2430</v>
      </c>
      <c r="G582">
        <v>82</v>
      </c>
      <c r="H582">
        <v>1737</v>
      </c>
      <c r="I582">
        <v>27</v>
      </c>
      <c r="J582" t="s">
        <v>15</v>
      </c>
      <c r="K582">
        <v>5</v>
      </c>
    </row>
    <row r="583" spans="1:11" x14ac:dyDescent="0.25">
      <c r="A583">
        <v>582</v>
      </c>
      <c r="B583" t="s">
        <v>19</v>
      </c>
      <c r="C583" t="s">
        <v>12</v>
      </c>
      <c r="D583">
        <v>148</v>
      </c>
      <c r="E583">
        <v>2.7</v>
      </c>
      <c r="F583">
        <v>625</v>
      </c>
      <c r="G583">
        <v>34</v>
      </c>
      <c r="H583">
        <v>416</v>
      </c>
      <c r="I583">
        <v>27</v>
      </c>
      <c r="J583" t="s">
        <v>13</v>
      </c>
      <c r="K583">
        <v>2</v>
      </c>
    </row>
    <row r="584" spans="1:11" x14ac:dyDescent="0.25">
      <c r="A584">
        <v>583</v>
      </c>
      <c r="B584" t="s">
        <v>17</v>
      </c>
      <c r="C584" t="s">
        <v>18</v>
      </c>
      <c r="D584">
        <v>191</v>
      </c>
      <c r="E584">
        <v>5.7</v>
      </c>
      <c r="F584">
        <v>1414</v>
      </c>
      <c r="G584">
        <v>53</v>
      </c>
      <c r="H584">
        <v>991</v>
      </c>
      <c r="I584">
        <v>19</v>
      </c>
      <c r="J584" t="s">
        <v>15</v>
      </c>
      <c r="K584">
        <v>3</v>
      </c>
    </row>
    <row r="585" spans="1:11" x14ac:dyDescent="0.25">
      <c r="A585">
        <v>584</v>
      </c>
      <c r="B585" t="s">
        <v>11</v>
      </c>
      <c r="C585" t="s">
        <v>12</v>
      </c>
      <c r="D585">
        <v>71</v>
      </c>
      <c r="E585">
        <v>1.9</v>
      </c>
      <c r="F585">
        <v>571</v>
      </c>
      <c r="G585">
        <v>10</v>
      </c>
      <c r="H585">
        <v>117</v>
      </c>
      <c r="I585">
        <v>43</v>
      </c>
      <c r="J585" t="s">
        <v>15</v>
      </c>
      <c r="K585">
        <v>1</v>
      </c>
    </row>
    <row r="586" spans="1:11" x14ac:dyDescent="0.25">
      <c r="A586">
        <v>585</v>
      </c>
      <c r="B586" t="s">
        <v>14</v>
      </c>
      <c r="C586" t="s">
        <v>12</v>
      </c>
      <c r="D586">
        <v>73</v>
      </c>
      <c r="E586">
        <v>1.3</v>
      </c>
      <c r="F586">
        <v>538</v>
      </c>
      <c r="G586">
        <v>19</v>
      </c>
      <c r="H586">
        <v>175</v>
      </c>
      <c r="I586">
        <v>30</v>
      </c>
      <c r="J586" t="s">
        <v>15</v>
      </c>
      <c r="K586">
        <v>1</v>
      </c>
    </row>
    <row r="587" spans="1:11" x14ac:dyDescent="0.25">
      <c r="A587">
        <v>586</v>
      </c>
      <c r="B587" t="s">
        <v>14</v>
      </c>
      <c r="C587" t="s">
        <v>12</v>
      </c>
      <c r="D587">
        <v>149</v>
      </c>
      <c r="E587">
        <v>3.1</v>
      </c>
      <c r="F587">
        <v>1191</v>
      </c>
      <c r="G587">
        <v>28</v>
      </c>
      <c r="H587">
        <v>563</v>
      </c>
      <c r="I587">
        <v>29</v>
      </c>
      <c r="J587" t="s">
        <v>13</v>
      </c>
      <c r="K587">
        <v>2</v>
      </c>
    </row>
    <row r="588" spans="1:11" x14ac:dyDescent="0.25">
      <c r="A588">
        <v>587</v>
      </c>
      <c r="B588" t="s">
        <v>16</v>
      </c>
      <c r="C588" t="s">
        <v>12</v>
      </c>
      <c r="D588">
        <v>197</v>
      </c>
      <c r="E588">
        <v>4.4000000000000004</v>
      </c>
      <c r="F588">
        <v>1665</v>
      </c>
      <c r="G588">
        <v>44</v>
      </c>
      <c r="H588">
        <v>608</v>
      </c>
      <c r="I588">
        <v>43</v>
      </c>
      <c r="J588" t="s">
        <v>15</v>
      </c>
      <c r="K588">
        <v>3</v>
      </c>
    </row>
    <row r="589" spans="1:11" x14ac:dyDescent="0.25">
      <c r="A589">
        <v>588</v>
      </c>
      <c r="B589" t="s">
        <v>19</v>
      </c>
      <c r="C589" t="s">
        <v>12</v>
      </c>
      <c r="D589">
        <v>328</v>
      </c>
      <c r="E589">
        <v>6.1</v>
      </c>
      <c r="F589">
        <v>1975</v>
      </c>
      <c r="G589">
        <v>72</v>
      </c>
      <c r="H589">
        <v>1101</v>
      </c>
      <c r="I589">
        <v>24</v>
      </c>
      <c r="J589" t="s">
        <v>13</v>
      </c>
      <c r="K589">
        <v>4</v>
      </c>
    </row>
    <row r="590" spans="1:11" x14ac:dyDescent="0.25">
      <c r="A590">
        <v>589</v>
      </c>
      <c r="B590" t="s">
        <v>14</v>
      </c>
      <c r="C590" t="s">
        <v>12</v>
      </c>
      <c r="D590">
        <v>424</v>
      </c>
      <c r="E590">
        <v>7.5</v>
      </c>
      <c r="F590">
        <v>1995</v>
      </c>
      <c r="G590">
        <v>75</v>
      </c>
      <c r="H590">
        <v>1228</v>
      </c>
      <c r="I590">
        <v>36</v>
      </c>
      <c r="J590" t="s">
        <v>13</v>
      </c>
      <c r="K590">
        <v>4</v>
      </c>
    </row>
    <row r="591" spans="1:11" x14ac:dyDescent="0.25">
      <c r="A591">
        <v>590</v>
      </c>
      <c r="B591" t="s">
        <v>19</v>
      </c>
      <c r="C591" t="s">
        <v>12</v>
      </c>
      <c r="D591">
        <v>111</v>
      </c>
      <c r="E591">
        <v>3.6</v>
      </c>
      <c r="F591">
        <v>627</v>
      </c>
      <c r="G591">
        <v>26</v>
      </c>
      <c r="H591">
        <v>464</v>
      </c>
      <c r="I591">
        <v>39</v>
      </c>
      <c r="J591" t="s">
        <v>15</v>
      </c>
      <c r="K591">
        <v>2</v>
      </c>
    </row>
    <row r="592" spans="1:11" x14ac:dyDescent="0.25">
      <c r="A592">
        <v>591</v>
      </c>
      <c r="B592" t="s">
        <v>19</v>
      </c>
      <c r="C592" t="s">
        <v>12</v>
      </c>
      <c r="D592">
        <v>159</v>
      </c>
      <c r="E592">
        <v>3.7</v>
      </c>
      <c r="F592">
        <v>630</v>
      </c>
      <c r="G592">
        <v>33</v>
      </c>
      <c r="H592">
        <v>575</v>
      </c>
      <c r="I592">
        <v>30</v>
      </c>
      <c r="J592" t="s">
        <v>13</v>
      </c>
      <c r="K592">
        <v>2</v>
      </c>
    </row>
    <row r="593" spans="1:11" x14ac:dyDescent="0.25">
      <c r="A593">
        <v>592</v>
      </c>
      <c r="B593" t="s">
        <v>11</v>
      </c>
      <c r="C593" t="s">
        <v>12</v>
      </c>
      <c r="D593">
        <v>580</v>
      </c>
      <c r="E593">
        <v>11.5</v>
      </c>
      <c r="F593">
        <v>2767</v>
      </c>
      <c r="G593">
        <v>84</v>
      </c>
      <c r="H593">
        <v>2341</v>
      </c>
      <c r="I593">
        <v>36</v>
      </c>
      <c r="J593" t="s">
        <v>15</v>
      </c>
      <c r="K593">
        <v>5</v>
      </c>
    </row>
    <row r="594" spans="1:11" x14ac:dyDescent="0.25">
      <c r="A594">
        <v>593</v>
      </c>
      <c r="B594" t="s">
        <v>19</v>
      </c>
      <c r="C594" t="s">
        <v>12</v>
      </c>
      <c r="D594">
        <v>379</v>
      </c>
      <c r="E594">
        <v>7.7</v>
      </c>
      <c r="F594">
        <v>1809</v>
      </c>
      <c r="G594">
        <v>64</v>
      </c>
      <c r="H594">
        <v>1050</v>
      </c>
      <c r="I594">
        <v>22</v>
      </c>
      <c r="J594" t="s">
        <v>15</v>
      </c>
      <c r="K594">
        <v>4</v>
      </c>
    </row>
    <row r="595" spans="1:11" x14ac:dyDescent="0.25">
      <c r="A595">
        <v>594</v>
      </c>
      <c r="B595" t="s">
        <v>19</v>
      </c>
      <c r="C595" t="s">
        <v>12</v>
      </c>
      <c r="D595">
        <v>217</v>
      </c>
      <c r="E595">
        <v>4.2</v>
      </c>
      <c r="F595">
        <v>1500</v>
      </c>
      <c r="G595">
        <v>42</v>
      </c>
      <c r="H595">
        <v>677</v>
      </c>
      <c r="I595">
        <v>26</v>
      </c>
      <c r="J595" t="s">
        <v>15</v>
      </c>
      <c r="K595">
        <v>3</v>
      </c>
    </row>
    <row r="596" spans="1:11" x14ac:dyDescent="0.25">
      <c r="A596">
        <v>595</v>
      </c>
      <c r="B596" t="s">
        <v>16</v>
      </c>
      <c r="C596" t="s">
        <v>12</v>
      </c>
      <c r="D596">
        <v>447</v>
      </c>
      <c r="E596">
        <v>6.3</v>
      </c>
      <c r="F596">
        <v>1959</v>
      </c>
      <c r="G596">
        <v>63</v>
      </c>
      <c r="H596">
        <v>1441</v>
      </c>
      <c r="I596">
        <v>48</v>
      </c>
      <c r="J596" t="s">
        <v>13</v>
      </c>
      <c r="K596">
        <v>4</v>
      </c>
    </row>
    <row r="597" spans="1:11" x14ac:dyDescent="0.25">
      <c r="A597">
        <v>596</v>
      </c>
      <c r="B597" t="s">
        <v>14</v>
      </c>
      <c r="C597" t="s">
        <v>12</v>
      </c>
      <c r="D597">
        <v>512</v>
      </c>
      <c r="E597">
        <v>10.5</v>
      </c>
      <c r="F597">
        <v>2538</v>
      </c>
      <c r="G597">
        <v>82</v>
      </c>
      <c r="H597">
        <v>1694</v>
      </c>
      <c r="I597">
        <v>41</v>
      </c>
      <c r="J597" t="s">
        <v>13</v>
      </c>
      <c r="K597">
        <v>5</v>
      </c>
    </row>
    <row r="598" spans="1:11" x14ac:dyDescent="0.25">
      <c r="A598">
        <v>597</v>
      </c>
      <c r="B598" t="s">
        <v>16</v>
      </c>
      <c r="C598" t="s">
        <v>12</v>
      </c>
      <c r="D598">
        <v>511</v>
      </c>
      <c r="E598">
        <v>10.8</v>
      </c>
      <c r="F598">
        <v>2529</v>
      </c>
      <c r="G598">
        <v>91</v>
      </c>
      <c r="H598">
        <v>2387</v>
      </c>
      <c r="I598">
        <v>21</v>
      </c>
      <c r="J598" t="s">
        <v>13</v>
      </c>
      <c r="K598">
        <v>5</v>
      </c>
    </row>
    <row r="599" spans="1:11" x14ac:dyDescent="0.25">
      <c r="A599">
        <v>598</v>
      </c>
      <c r="B599" t="s">
        <v>14</v>
      </c>
      <c r="C599" t="s">
        <v>12</v>
      </c>
      <c r="D599">
        <v>140</v>
      </c>
      <c r="E599">
        <v>2.5</v>
      </c>
      <c r="F599">
        <v>825</v>
      </c>
      <c r="G599">
        <v>31</v>
      </c>
      <c r="H599">
        <v>347</v>
      </c>
      <c r="I599">
        <v>59</v>
      </c>
      <c r="J599" t="s">
        <v>13</v>
      </c>
      <c r="K599">
        <v>2</v>
      </c>
    </row>
    <row r="600" spans="1:11" x14ac:dyDescent="0.25">
      <c r="A600">
        <v>599</v>
      </c>
      <c r="B600" t="s">
        <v>19</v>
      </c>
      <c r="C600" t="s">
        <v>12</v>
      </c>
      <c r="D600">
        <v>114</v>
      </c>
      <c r="E600">
        <v>3</v>
      </c>
      <c r="F600">
        <v>1131</v>
      </c>
      <c r="G600">
        <v>31</v>
      </c>
      <c r="H600">
        <v>596</v>
      </c>
      <c r="I600">
        <v>28</v>
      </c>
      <c r="J600" t="s">
        <v>13</v>
      </c>
      <c r="K600">
        <v>2</v>
      </c>
    </row>
    <row r="601" spans="1:11" x14ac:dyDescent="0.25">
      <c r="A601">
        <v>600</v>
      </c>
      <c r="B601" t="s">
        <v>19</v>
      </c>
      <c r="C601" t="s">
        <v>12</v>
      </c>
      <c r="D601">
        <v>192</v>
      </c>
      <c r="E601">
        <v>4.3</v>
      </c>
      <c r="F601">
        <v>1382</v>
      </c>
      <c r="G601">
        <v>42</v>
      </c>
      <c r="H601">
        <v>905</v>
      </c>
      <c r="I601">
        <v>47</v>
      </c>
      <c r="J601" t="s">
        <v>15</v>
      </c>
      <c r="K601">
        <v>3</v>
      </c>
    </row>
    <row r="602" spans="1:11" x14ac:dyDescent="0.25">
      <c r="A602">
        <v>601</v>
      </c>
      <c r="B602" t="s">
        <v>17</v>
      </c>
      <c r="C602" t="s">
        <v>18</v>
      </c>
      <c r="D602">
        <v>325</v>
      </c>
      <c r="E602">
        <v>6</v>
      </c>
      <c r="F602">
        <v>2244</v>
      </c>
      <c r="G602">
        <v>70</v>
      </c>
      <c r="H602">
        <v>1296</v>
      </c>
      <c r="I602">
        <v>30</v>
      </c>
      <c r="J602" t="s">
        <v>15</v>
      </c>
      <c r="K602">
        <v>4</v>
      </c>
    </row>
    <row r="603" spans="1:11" x14ac:dyDescent="0.25">
      <c r="A603">
        <v>602</v>
      </c>
      <c r="B603" t="s">
        <v>14</v>
      </c>
      <c r="C603" t="s">
        <v>12</v>
      </c>
      <c r="D603">
        <v>83</v>
      </c>
      <c r="E603">
        <v>1.2</v>
      </c>
      <c r="F603">
        <v>545</v>
      </c>
      <c r="G603">
        <v>15</v>
      </c>
      <c r="H603">
        <v>284</v>
      </c>
      <c r="I603">
        <v>44</v>
      </c>
      <c r="J603" t="s">
        <v>13</v>
      </c>
      <c r="K603">
        <v>1</v>
      </c>
    </row>
    <row r="604" spans="1:11" x14ac:dyDescent="0.25">
      <c r="A604">
        <v>603</v>
      </c>
      <c r="B604" t="s">
        <v>14</v>
      </c>
      <c r="C604" t="s">
        <v>12</v>
      </c>
      <c r="D604">
        <v>122</v>
      </c>
      <c r="E604">
        <v>3</v>
      </c>
      <c r="F604">
        <v>922</v>
      </c>
      <c r="G604">
        <v>32</v>
      </c>
      <c r="H604">
        <v>373</v>
      </c>
      <c r="I604">
        <v>43</v>
      </c>
      <c r="J604" t="s">
        <v>13</v>
      </c>
      <c r="K604">
        <v>2</v>
      </c>
    </row>
    <row r="605" spans="1:11" x14ac:dyDescent="0.25">
      <c r="A605">
        <v>604</v>
      </c>
      <c r="B605" t="s">
        <v>14</v>
      </c>
      <c r="C605" t="s">
        <v>12</v>
      </c>
      <c r="D605">
        <v>138</v>
      </c>
      <c r="E605">
        <v>2.1</v>
      </c>
      <c r="F605">
        <v>660</v>
      </c>
      <c r="G605">
        <v>22</v>
      </c>
      <c r="H605">
        <v>424</v>
      </c>
      <c r="I605">
        <v>41</v>
      </c>
      <c r="J605" t="s">
        <v>15</v>
      </c>
      <c r="K605">
        <v>2</v>
      </c>
    </row>
    <row r="606" spans="1:11" x14ac:dyDescent="0.25">
      <c r="A606">
        <v>605</v>
      </c>
      <c r="B606" t="s">
        <v>14</v>
      </c>
      <c r="C606" t="s">
        <v>12</v>
      </c>
      <c r="D606">
        <v>182</v>
      </c>
      <c r="E606">
        <v>5.3</v>
      </c>
      <c r="F606">
        <v>1278</v>
      </c>
      <c r="G606">
        <v>42</v>
      </c>
      <c r="H606">
        <v>885</v>
      </c>
      <c r="I606">
        <v>54</v>
      </c>
      <c r="J606" t="s">
        <v>15</v>
      </c>
      <c r="K606">
        <v>3</v>
      </c>
    </row>
    <row r="607" spans="1:11" x14ac:dyDescent="0.25">
      <c r="A607">
        <v>606</v>
      </c>
      <c r="B607" t="s">
        <v>14</v>
      </c>
      <c r="C607" t="s">
        <v>12</v>
      </c>
      <c r="D607">
        <v>425</v>
      </c>
      <c r="E607">
        <v>6</v>
      </c>
      <c r="F607">
        <v>1928</v>
      </c>
      <c r="G607">
        <v>72</v>
      </c>
      <c r="H607">
        <v>1150</v>
      </c>
      <c r="I607">
        <v>53</v>
      </c>
      <c r="J607" t="s">
        <v>15</v>
      </c>
      <c r="K607">
        <v>4</v>
      </c>
    </row>
    <row r="608" spans="1:11" x14ac:dyDescent="0.25">
      <c r="A608">
        <v>607</v>
      </c>
      <c r="B608" t="s">
        <v>14</v>
      </c>
      <c r="C608" t="s">
        <v>12</v>
      </c>
      <c r="D608">
        <v>580</v>
      </c>
      <c r="E608">
        <v>10.4</v>
      </c>
      <c r="F608">
        <v>2496</v>
      </c>
      <c r="G608">
        <v>81</v>
      </c>
      <c r="H608">
        <v>2441</v>
      </c>
      <c r="I608">
        <v>37</v>
      </c>
      <c r="J608" t="s">
        <v>15</v>
      </c>
      <c r="K608">
        <v>5</v>
      </c>
    </row>
    <row r="609" spans="1:11" x14ac:dyDescent="0.25">
      <c r="A609">
        <v>608</v>
      </c>
      <c r="B609" t="s">
        <v>16</v>
      </c>
      <c r="C609" t="s">
        <v>12</v>
      </c>
      <c r="D609">
        <v>203</v>
      </c>
      <c r="E609">
        <v>4</v>
      </c>
      <c r="F609">
        <v>1323</v>
      </c>
      <c r="G609">
        <v>56</v>
      </c>
      <c r="H609">
        <v>787</v>
      </c>
      <c r="I609">
        <v>21</v>
      </c>
      <c r="J609" t="s">
        <v>13</v>
      </c>
      <c r="K609">
        <v>3</v>
      </c>
    </row>
    <row r="610" spans="1:11" x14ac:dyDescent="0.25">
      <c r="A610">
        <v>609</v>
      </c>
      <c r="B610" t="s">
        <v>16</v>
      </c>
      <c r="C610" t="s">
        <v>12</v>
      </c>
      <c r="D610">
        <v>258</v>
      </c>
      <c r="E610">
        <v>4.9000000000000004</v>
      </c>
      <c r="F610">
        <v>1596</v>
      </c>
      <c r="G610">
        <v>56</v>
      </c>
      <c r="H610">
        <v>937</v>
      </c>
      <c r="I610">
        <v>40</v>
      </c>
      <c r="J610" t="s">
        <v>15</v>
      </c>
      <c r="K610">
        <v>3</v>
      </c>
    </row>
    <row r="611" spans="1:11" x14ac:dyDescent="0.25">
      <c r="A611">
        <v>610</v>
      </c>
      <c r="B611" t="s">
        <v>17</v>
      </c>
      <c r="C611" t="s">
        <v>18</v>
      </c>
      <c r="D611">
        <v>551</v>
      </c>
      <c r="E611">
        <v>8.5</v>
      </c>
      <c r="F611">
        <v>2927</v>
      </c>
      <c r="G611">
        <v>92</v>
      </c>
      <c r="H611">
        <v>1901</v>
      </c>
      <c r="I611">
        <v>51</v>
      </c>
      <c r="J611" t="s">
        <v>13</v>
      </c>
      <c r="K611">
        <v>5</v>
      </c>
    </row>
    <row r="612" spans="1:11" x14ac:dyDescent="0.25">
      <c r="A612">
        <v>611</v>
      </c>
      <c r="B612" t="s">
        <v>17</v>
      </c>
      <c r="C612" t="s">
        <v>18</v>
      </c>
      <c r="D612">
        <v>507</v>
      </c>
      <c r="E612">
        <v>9.6</v>
      </c>
      <c r="F612">
        <v>2606</v>
      </c>
      <c r="G612">
        <v>95</v>
      </c>
      <c r="H612">
        <v>1543</v>
      </c>
      <c r="I612">
        <v>48</v>
      </c>
      <c r="J612" t="s">
        <v>13</v>
      </c>
      <c r="K612">
        <v>5</v>
      </c>
    </row>
    <row r="613" spans="1:11" x14ac:dyDescent="0.25">
      <c r="A613">
        <v>612</v>
      </c>
      <c r="B613" t="s">
        <v>16</v>
      </c>
      <c r="C613" t="s">
        <v>12</v>
      </c>
      <c r="D613">
        <v>57</v>
      </c>
      <c r="E613">
        <v>1.3</v>
      </c>
      <c r="F613">
        <v>489</v>
      </c>
      <c r="G613">
        <v>16</v>
      </c>
      <c r="H613">
        <v>131</v>
      </c>
      <c r="I613">
        <v>37</v>
      </c>
      <c r="J613" t="s">
        <v>13</v>
      </c>
      <c r="K613">
        <v>1</v>
      </c>
    </row>
    <row r="614" spans="1:11" x14ac:dyDescent="0.25">
      <c r="A614">
        <v>613</v>
      </c>
      <c r="B614" t="s">
        <v>16</v>
      </c>
      <c r="C614" t="s">
        <v>12</v>
      </c>
      <c r="D614">
        <v>553</v>
      </c>
      <c r="E614">
        <v>10.199999999999999</v>
      </c>
      <c r="F614">
        <v>2911</v>
      </c>
      <c r="G614">
        <v>82</v>
      </c>
      <c r="H614">
        <v>2441</v>
      </c>
      <c r="I614">
        <v>44</v>
      </c>
      <c r="J614" t="s">
        <v>13</v>
      </c>
      <c r="K614">
        <v>5</v>
      </c>
    </row>
    <row r="615" spans="1:11" x14ac:dyDescent="0.25">
      <c r="A615">
        <v>614</v>
      </c>
      <c r="B615" t="s">
        <v>11</v>
      </c>
      <c r="C615" t="s">
        <v>12</v>
      </c>
      <c r="D615">
        <v>49</v>
      </c>
      <c r="E615">
        <v>1.1000000000000001</v>
      </c>
      <c r="F615">
        <v>395</v>
      </c>
      <c r="G615">
        <v>16</v>
      </c>
      <c r="H615">
        <v>153</v>
      </c>
      <c r="I615">
        <v>46</v>
      </c>
      <c r="J615" t="s">
        <v>15</v>
      </c>
      <c r="K615">
        <v>1</v>
      </c>
    </row>
    <row r="616" spans="1:11" x14ac:dyDescent="0.25">
      <c r="A616">
        <v>615</v>
      </c>
      <c r="B616" t="s">
        <v>19</v>
      </c>
      <c r="C616" t="s">
        <v>12</v>
      </c>
      <c r="D616">
        <v>106</v>
      </c>
      <c r="E616">
        <v>4</v>
      </c>
      <c r="F616">
        <v>1158</v>
      </c>
      <c r="G616">
        <v>23</v>
      </c>
      <c r="H616">
        <v>493</v>
      </c>
      <c r="I616">
        <v>18</v>
      </c>
      <c r="J616" t="s">
        <v>13</v>
      </c>
      <c r="K616">
        <v>2</v>
      </c>
    </row>
    <row r="617" spans="1:11" x14ac:dyDescent="0.25">
      <c r="A617">
        <v>616</v>
      </c>
      <c r="B617" t="s">
        <v>11</v>
      </c>
      <c r="C617" t="s">
        <v>12</v>
      </c>
      <c r="D617">
        <v>119</v>
      </c>
      <c r="E617">
        <v>3.7</v>
      </c>
      <c r="F617">
        <v>608</v>
      </c>
      <c r="G617">
        <v>36</v>
      </c>
      <c r="H617">
        <v>461</v>
      </c>
      <c r="I617">
        <v>52</v>
      </c>
      <c r="J617" t="s">
        <v>13</v>
      </c>
      <c r="K617">
        <v>2</v>
      </c>
    </row>
    <row r="618" spans="1:11" x14ac:dyDescent="0.25">
      <c r="A618">
        <v>617</v>
      </c>
      <c r="B618" t="s">
        <v>14</v>
      </c>
      <c r="C618" t="s">
        <v>12</v>
      </c>
      <c r="D618">
        <v>288</v>
      </c>
      <c r="E618">
        <v>5.4</v>
      </c>
      <c r="F618">
        <v>1476</v>
      </c>
      <c r="G618">
        <v>49</v>
      </c>
      <c r="H618">
        <v>767</v>
      </c>
      <c r="I618">
        <v>36</v>
      </c>
      <c r="J618" t="s">
        <v>15</v>
      </c>
      <c r="K618">
        <v>3</v>
      </c>
    </row>
    <row r="619" spans="1:11" x14ac:dyDescent="0.25">
      <c r="A619">
        <v>618</v>
      </c>
      <c r="B619" t="s">
        <v>11</v>
      </c>
      <c r="C619" t="s">
        <v>12</v>
      </c>
      <c r="D619">
        <v>225</v>
      </c>
      <c r="E619">
        <v>5.6</v>
      </c>
      <c r="F619">
        <v>1388</v>
      </c>
      <c r="G619">
        <v>55</v>
      </c>
      <c r="H619">
        <v>965</v>
      </c>
      <c r="I619">
        <v>36</v>
      </c>
      <c r="J619" t="s">
        <v>15</v>
      </c>
      <c r="K619">
        <v>3</v>
      </c>
    </row>
    <row r="620" spans="1:11" x14ac:dyDescent="0.25">
      <c r="A620">
        <v>619</v>
      </c>
      <c r="B620" t="s">
        <v>14</v>
      </c>
      <c r="C620" t="s">
        <v>12</v>
      </c>
      <c r="D620">
        <v>342</v>
      </c>
      <c r="E620">
        <v>7</v>
      </c>
      <c r="F620">
        <v>1826</v>
      </c>
      <c r="G620">
        <v>71</v>
      </c>
      <c r="H620">
        <v>1077</v>
      </c>
      <c r="I620">
        <v>26</v>
      </c>
      <c r="J620" t="s">
        <v>15</v>
      </c>
      <c r="K620">
        <v>4</v>
      </c>
    </row>
    <row r="621" spans="1:11" x14ac:dyDescent="0.25">
      <c r="A621">
        <v>620</v>
      </c>
      <c r="B621" t="s">
        <v>19</v>
      </c>
      <c r="C621" t="s">
        <v>12</v>
      </c>
      <c r="D621">
        <v>292</v>
      </c>
      <c r="E621">
        <v>4.2</v>
      </c>
      <c r="F621">
        <v>1407</v>
      </c>
      <c r="G621">
        <v>54</v>
      </c>
      <c r="H621">
        <v>867</v>
      </c>
      <c r="I621">
        <v>59</v>
      </c>
      <c r="J621" t="s">
        <v>13</v>
      </c>
      <c r="K621">
        <v>3</v>
      </c>
    </row>
    <row r="622" spans="1:11" x14ac:dyDescent="0.25">
      <c r="A622">
        <v>621</v>
      </c>
      <c r="B622" t="s">
        <v>17</v>
      </c>
      <c r="C622" t="s">
        <v>18</v>
      </c>
      <c r="D622">
        <v>218</v>
      </c>
      <c r="E622">
        <v>5</v>
      </c>
      <c r="F622">
        <v>1475</v>
      </c>
      <c r="G622">
        <v>46</v>
      </c>
      <c r="H622">
        <v>972</v>
      </c>
      <c r="I622">
        <v>59</v>
      </c>
      <c r="J622" t="s">
        <v>15</v>
      </c>
      <c r="K622">
        <v>3</v>
      </c>
    </row>
    <row r="623" spans="1:11" x14ac:dyDescent="0.25">
      <c r="A623">
        <v>622</v>
      </c>
      <c r="B623" t="s">
        <v>11</v>
      </c>
      <c r="C623" t="s">
        <v>12</v>
      </c>
      <c r="D623">
        <v>64</v>
      </c>
      <c r="E623">
        <v>1.8</v>
      </c>
      <c r="F623">
        <v>351</v>
      </c>
      <c r="G623">
        <v>15</v>
      </c>
      <c r="H623">
        <v>274</v>
      </c>
      <c r="I623">
        <v>56</v>
      </c>
      <c r="J623" t="s">
        <v>13</v>
      </c>
      <c r="K623">
        <v>1</v>
      </c>
    </row>
    <row r="624" spans="1:11" x14ac:dyDescent="0.25">
      <c r="A624">
        <v>623</v>
      </c>
      <c r="B624" t="s">
        <v>16</v>
      </c>
      <c r="C624" t="s">
        <v>12</v>
      </c>
      <c r="D624">
        <v>453</v>
      </c>
      <c r="E624">
        <v>7.4</v>
      </c>
      <c r="F624">
        <v>2363</v>
      </c>
      <c r="G624">
        <v>65</v>
      </c>
      <c r="H624">
        <v>1046</v>
      </c>
      <c r="I624">
        <v>41</v>
      </c>
      <c r="J624" t="s">
        <v>15</v>
      </c>
      <c r="K624">
        <v>4</v>
      </c>
    </row>
    <row r="625" spans="1:11" x14ac:dyDescent="0.25">
      <c r="A625">
        <v>624</v>
      </c>
      <c r="B625" t="s">
        <v>14</v>
      </c>
      <c r="C625" t="s">
        <v>12</v>
      </c>
      <c r="D625">
        <v>42</v>
      </c>
      <c r="E625">
        <v>1.8</v>
      </c>
      <c r="F625">
        <v>417</v>
      </c>
      <c r="G625">
        <v>15</v>
      </c>
      <c r="H625">
        <v>284</v>
      </c>
      <c r="I625">
        <v>21</v>
      </c>
      <c r="J625" t="s">
        <v>13</v>
      </c>
      <c r="K625">
        <v>1</v>
      </c>
    </row>
    <row r="626" spans="1:11" x14ac:dyDescent="0.25">
      <c r="A626">
        <v>625</v>
      </c>
      <c r="B626" t="s">
        <v>19</v>
      </c>
      <c r="C626" t="s">
        <v>12</v>
      </c>
      <c r="D626">
        <v>36</v>
      </c>
      <c r="E626">
        <v>1.5</v>
      </c>
      <c r="F626">
        <v>310</v>
      </c>
      <c r="G626">
        <v>15</v>
      </c>
      <c r="H626">
        <v>272</v>
      </c>
      <c r="I626">
        <v>45</v>
      </c>
      <c r="J626" t="s">
        <v>13</v>
      </c>
      <c r="K626">
        <v>1</v>
      </c>
    </row>
    <row r="627" spans="1:11" x14ac:dyDescent="0.25">
      <c r="A627">
        <v>626</v>
      </c>
      <c r="B627" t="s">
        <v>14</v>
      </c>
      <c r="C627" t="s">
        <v>12</v>
      </c>
      <c r="D627">
        <v>55</v>
      </c>
      <c r="E627">
        <v>1.8</v>
      </c>
      <c r="F627">
        <v>328</v>
      </c>
      <c r="G627">
        <v>12</v>
      </c>
      <c r="H627">
        <v>196</v>
      </c>
      <c r="I627">
        <v>31</v>
      </c>
      <c r="J627" t="s">
        <v>15</v>
      </c>
      <c r="K627">
        <v>1</v>
      </c>
    </row>
    <row r="628" spans="1:11" x14ac:dyDescent="0.25">
      <c r="A628">
        <v>627</v>
      </c>
      <c r="B628" t="s">
        <v>17</v>
      </c>
      <c r="C628" t="s">
        <v>18</v>
      </c>
      <c r="D628">
        <v>210</v>
      </c>
      <c r="E628">
        <v>5</v>
      </c>
      <c r="F628">
        <v>1614</v>
      </c>
      <c r="G628">
        <v>53</v>
      </c>
      <c r="H628">
        <v>679</v>
      </c>
      <c r="I628">
        <v>55</v>
      </c>
      <c r="J628" t="s">
        <v>15</v>
      </c>
      <c r="K628">
        <v>3</v>
      </c>
    </row>
    <row r="629" spans="1:11" x14ac:dyDescent="0.25">
      <c r="A629">
        <v>628</v>
      </c>
      <c r="B629" t="s">
        <v>17</v>
      </c>
      <c r="C629" t="s">
        <v>18</v>
      </c>
      <c r="D629">
        <v>227</v>
      </c>
      <c r="E629">
        <v>5.2</v>
      </c>
      <c r="F629">
        <v>1446</v>
      </c>
      <c r="G629">
        <v>46</v>
      </c>
      <c r="H629">
        <v>920</v>
      </c>
      <c r="I629">
        <v>59</v>
      </c>
      <c r="J629" t="s">
        <v>13</v>
      </c>
      <c r="K629">
        <v>3</v>
      </c>
    </row>
    <row r="630" spans="1:11" x14ac:dyDescent="0.25">
      <c r="A630">
        <v>629</v>
      </c>
      <c r="B630" t="s">
        <v>16</v>
      </c>
      <c r="C630" t="s">
        <v>12</v>
      </c>
      <c r="D630">
        <v>47</v>
      </c>
      <c r="E630">
        <v>1.2</v>
      </c>
      <c r="F630">
        <v>437</v>
      </c>
      <c r="G630">
        <v>18</v>
      </c>
      <c r="H630">
        <v>234</v>
      </c>
      <c r="I630">
        <v>55</v>
      </c>
      <c r="J630" t="s">
        <v>13</v>
      </c>
      <c r="K630">
        <v>1</v>
      </c>
    </row>
    <row r="631" spans="1:11" x14ac:dyDescent="0.25">
      <c r="A631">
        <v>630</v>
      </c>
      <c r="B631" t="s">
        <v>17</v>
      </c>
      <c r="C631" t="s">
        <v>18</v>
      </c>
      <c r="D631">
        <v>461</v>
      </c>
      <c r="E631">
        <v>6.3</v>
      </c>
      <c r="F631">
        <v>1988</v>
      </c>
      <c r="G631">
        <v>62</v>
      </c>
      <c r="H631">
        <v>1004</v>
      </c>
      <c r="I631">
        <v>21</v>
      </c>
      <c r="J631" t="s">
        <v>13</v>
      </c>
      <c r="K631">
        <v>4</v>
      </c>
    </row>
    <row r="632" spans="1:11" x14ac:dyDescent="0.25">
      <c r="A632">
        <v>631</v>
      </c>
      <c r="B632" t="s">
        <v>11</v>
      </c>
      <c r="C632" t="s">
        <v>12</v>
      </c>
      <c r="D632">
        <v>94</v>
      </c>
      <c r="E632">
        <v>3.1</v>
      </c>
      <c r="F632">
        <v>1078</v>
      </c>
      <c r="G632">
        <v>38</v>
      </c>
      <c r="H632">
        <v>489</v>
      </c>
      <c r="I632">
        <v>25</v>
      </c>
      <c r="J632" t="s">
        <v>13</v>
      </c>
      <c r="K632">
        <v>2</v>
      </c>
    </row>
    <row r="633" spans="1:11" x14ac:dyDescent="0.25">
      <c r="A633">
        <v>632</v>
      </c>
      <c r="B633" t="s">
        <v>19</v>
      </c>
      <c r="C633" t="s">
        <v>12</v>
      </c>
      <c r="D633">
        <v>216</v>
      </c>
      <c r="E633">
        <v>5.0999999999999996</v>
      </c>
      <c r="F633">
        <v>1483</v>
      </c>
      <c r="G633">
        <v>54</v>
      </c>
      <c r="H633">
        <v>977</v>
      </c>
      <c r="I633">
        <v>45</v>
      </c>
      <c r="J633" t="s">
        <v>15</v>
      </c>
      <c r="K633">
        <v>3</v>
      </c>
    </row>
    <row r="634" spans="1:11" x14ac:dyDescent="0.25">
      <c r="A634">
        <v>633</v>
      </c>
      <c r="B634" t="s">
        <v>17</v>
      </c>
      <c r="C634" t="s">
        <v>18</v>
      </c>
      <c r="D634">
        <v>496</v>
      </c>
      <c r="E634">
        <v>10.199999999999999</v>
      </c>
      <c r="F634">
        <v>2587</v>
      </c>
      <c r="G634">
        <v>84</v>
      </c>
      <c r="H634">
        <v>1921</v>
      </c>
      <c r="I634">
        <v>56</v>
      </c>
      <c r="J634" t="s">
        <v>15</v>
      </c>
      <c r="K634">
        <v>5</v>
      </c>
    </row>
    <row r="635" spans="1:11" x14ac:dyDescent="0.25">
      <c r="A635">
        <v>634</v>
      </c>
      <c r="B635" t="s">
        <v>14</v>
      </c>
      <c r="C635" t="s">
        <v>12</v>
      </c>
      <c r="D635">
        <v>138</v>
      </c>
      <c r="E635">
        <v>3.2</v>
      </c>
      <c r="F635">
        <v>1142</v>
      </c>
      <c r="G635">
        <v>31</v>
      </c>
      <c r="H635">
        <v>366</v>
      </c>
      <c r="I635">
        <v>29</v>
      </c>
      <c r="J635" t="s">
        <v>15</v>
      </c>
      <c r="K635">
        <v>2</v>
      </c>
    </row>
    <row r="636" spans="1:11" x14ac:dyDescent="0.25">
      <c r="A636">
        <v>635</v>
      </c>
      <c r="B636" t="s">
        <v>17</v>
      </c>
      <c r="C636" t="s">
        <v>18</v>
      </c>
      <c r="D636">
        <v>318</v>
      </c>
      <c r="E636">
        <v>6.6</v>
      </c>
      <c r="F636">
        <v>2055</v>
      </c>
      <c r="G636">
        <v>67</v>
      </c>
      <c r="H636">
        <v>1253</v>
      </c>
      <c r="I636">
        <v>43</v>
      </c>
      <c r="J636" t="s">
        <v>13</v>
      </c>
      <c r="K636">
        <v>4</v>
      </c>
    </row>
    <row r="637" spans="1:11" x14ac:dyDescent="0.25">
      <c r="A637">
        <v>636</v>
      </c>
      <c r="B637" t="s">
        <v>19</v>
      </c>
      <c r="C637" t="s">
        <v>12</v>
      </c>
      <c r="D637">
        <v>96</v>
      </c>
      <c r="E637">
        <v>3.4</v>
      </c>
      <c r="F637">
        <v>1198</v>
      </c>
      <c r="G637">
        <v>39</v>
      </c>
      <c r="H637">
        <v>401</v>
      </c>
      <c r="I637">
        <v>48</v>
      </c>
      <c r="J637" t="s">
        <v>15</v>
      </c>
      <c r="K637">
        <v>2</v>
      </c>
    </row>
    <row r="638" spans="1:11" x14ac:dyDescent="0.25">
      <c r="A638">
        <v>637</v>
      </c>
      <c r="B638" t="s">
        <v>14</v>
      </c>
      <c r="C638" t="s">
        <v>12</v>
      </c>
      <c r="D638">
        <v>510</v>
      </c>
      <c r="E638">
        <v>10.7</v>
      </c>
      <c r="F638">
        <v>2433</v>
      </c>
      <c r="G638">
        <v>90</v>
      </c>
      <c r="H638">
        <v>1729</v>
      </c>
      <c r="I638">
        <v>47</v>
      </c>
      <c r="J638" t="s">
        <v>13</v>
      </c>
      <c r="K638">
        <v>5</v>
      </c>
    </row>
    <row r="639" spans="1:11" x14ac:dyDescent="0.25">
      <c r="A639">
        <v>638</v>
      </c>
      <c r="B639" t="s">
        <v>16</v>
      </c>
      <c r="C639" t="s">
        <v>12</v>
      </c>
      <c r="D639">
        <v>83</v>
      </c>
      <c r="E639">
        <v>1.1000000000000001</v>
      </c>
      <c r="F639">
        <v>546</v>
      </c>
      <c r="G639">
        <v>10</v>
      </c>
      <c r="H639">
        <v>289</v>
      </c>
      <c r="I639">
        <v>32</v>
      </c>
      <c r="J639" t="s">
        <v>15</v>
      </c>
      <c r="K639">
        <v>1</v>
      </c>
    </row>
    <row r="640" spans="1:11" x14ac:dyDescent="0.25">
      <c r="A640">
        <v>639</v>
      </c>
      <c r="B640" t="s">
        <v>11</v>
      </c>
      <c r="C640" t="s">
        <v>12</v>
      </c>
      <c r="D640">
        <v>417</v>
      </c>
      <c r="E640">
        <v>6.2</v>
      </c>
      <c r="F640">
        <v>2074</v>
      </c>
      <c r="G640">
        <v>63</v>
      </c>
      <c r="H640">
        <v>1135</v>
      </c>
      <c r="I640">
        <v>35</v>
      </c>
      <c r="J640" t="s">
        <v>15</v>
      </c>
      <c r="K640">
        <v>4</v>
      </c>
    </row>
    <row r="641" spans="1:11" x14ac:dyDescent="0.25">
      <c r="A641">
        <v>640</v>
      </c>
      <c r="B641" t="s">
        <v>11</v>
      </c>
      <c r="C641" t="s">
        <v>12</v>
      </c>
      <c r="D641">
        <v>538</v>
      </c>
      <c r="E641">
        <v>9.8000000000000007</v>
      </c>
      <c r="F641">
        <v>2778</v>
      </c>
      <c r="G641">
        <v>91</v>
      </c>
      <c r="H641">
        <v>2080</v>
      </c>
      <c r="I641">
        <v>35</v>
      </c>
      <c r="J641" t="s">
        <v>15</v>
      </c>
      <c r="K641">
        <v>5</v>
      </c>
    </row>
    <row r="642" spans="1:11" x14ac:dyDescent="0.25">
      <c r="A642">
        <v>641</v>
      </c>
      <c r="B642" t="s">
        <v>19</v>
      </c>
      <c r="C642" t="s">
        <v>12</v>
      </c>
      <c r="D642">
        <v>63</v>
      </c>
      <c r="E642">
        <v>1.8</v>
      </c>
      <c r="F642">
        <v>321</v>
      </c>
      <c r="G642">
        <v>11</v>
      </c>
      <c r="H642">
        <v>271</v>
      </c>
      <c r="I642">
        <v>42</v>
      </c>
      <c r="J642" t="s">
        <v>13</v>
      </c>
      <c r="K642">
        <v>1</v>
      </c>
    </row>
    <row r="643" spans="1:11" x14ac:dyDescent="0.25">
      <c r="A643">
        <v>642</v>
      </c>
      <c r="B643" t="s">
        <v>14</v>
      </c>
      <c r="C643" t="s">
        <v>12</v>
      </c>
      <c r="D643">
        <v>50</v>
      </c>
      <c r="E643">
        <v>1.4</v>
      </c>
      <c r="F643">
        <v>443</v>
      </c>
      <c r="G643">
        <v>16</v>
      </c>
      <c r="H643">
        <v>255</v>
      </c>
      <c r="I643">
        <v>26</v>
      </c>
      <c r="J643" t="s">
        <v>15</v>
      </c>
      <c r="K643">
        <v>1</v>
      </c>
    </row>
    <row r="644" spans="1:11" x14ac:dyDescent="0.25">
      <c r="A644">
        <v>643</v>
      </c>
      <c r="B644" t="s">
        <v>11</v>
      </c>
      <c r="C644" t="s">
        <v>12</v>
      </c>
      <c r="D644">
        <v>502</v>
      </c>
      <c r="E644">
        <v>8.1999999999999993</v>
      </c>
      <c r="F644">
        <v>2597</v>
      </c>
      <c r="G644">
        <v>90</v>
      </c>
      <c r="H644">
        <v>1553</v>
      </c>
      <c r="I644">
        <v>27</v>
      </c>
      <c r="J644" t="s">
        <v>13</v>
      </c>
      <c r="K644">
        <v>5</v>
      </c>
    </row>
    <row r="645" spans="1:11" x14ac:dyDescent="0.25">
      <c r="A645">
        <v>644</v>
      </c>
      <c r="B645" t="s">
        <v>14</v>
      </c>
      <c r="C645" t="s">
        <v>12</v>
      </c>
      <c r="D645">
        <v>105</v>
      </c>
      <c r="E645">
        <v>3.3</v>
      </c>
      <c r="F645">
        <v>723</v>
      </c>
      <c r="G645">
        <v>35</v>
      </c>
      <c r="H645">
        <v>566</v>
      </c>
      <c r="I645">
        <v>46</v>
      </c>
      <c r="J645" t="s">
        <v>13</v>
      </c>
      <c r="K645">
        <v>2</v>
      </c>
    </row>
    <row r="646" spans="1:11" x14ac:dyDescent="0.25">
      <c r="A646">
        <v>645</v>
      </c>
      <c r="B646" t="s">
        <v>11</v>
      </c>
      <c r="C646" t="s">
        <v>12</v>
      </c>
      <c r="D646">
        <v>186</v>
      </c>
      <c r="E646">
        <v>4.8</v>
      </c>
      <c r="F646">
        <v>1494</v>
      </c>
      <c r="G646">
        <v>53</v>
      </c>
      <c r="H646">
        <v>949</v>
      </c>
      <c r="I646">
        <v>20</v>
      </c>
      <c r="J646" t="s">
        <v>15</v>
      </c>
      <c r="K646">
        <v>3</v>
      </c>
    </row>
    <row r="647" spans="1:11" x14ac:dyDescent="0.25">
      <c r="A647">
        <v>646</v>
      </c>
      <c r="B647" t="s">
        <v>16</v>
      </c>
      <c r="C647" t="s">
        <v>12</v>
      </c>
      <c r="D647">
        <v>174</v>
      </c>
      <c r="E647">
        <v>2.9</v>
      </c>
      <c r="F647">
        <v>1197</v>
      </c>
      <c r="G647">
        <v>23</v>
      </c>
      <c r="H647">
        <v>345</v>
      </c>
      <c r="I647">
        <v>20</v>
      </c>
      <c r="J647" t="s">
        <v>15</v>
      </c>
      <c r="K647">
        <v>2</v>
      </c>
    </row>
    <row r="648" spans="1:11" x14ac:dyDescent="0.25">
      <c r="A648">
        <v>647</v>
      </c>
      <c r="B648" t="s">
        <v>19</v>
      </c>
      <c r="C648" t="s">
        <v>12</v>
      </c>
      <c r="D648">
        <v>89</v>
      </c>
      <c r="E648">
        <v>1.3</v>
      </c>
      <c r="F648">
        <v>314</v>
      </c>
      <c r="G648">
        <v>16</v>
      </c>
      <c r="H648">
        <v>201</v>
      </c>
      <c r="I648">
        <v>58</v>
      </c>
      <c r="J648" t="s">
        <v>15</v>
      </c>
      <c r="K648">
        <v>1</v>
      </c>
    </row>
    <row r="649" spans="1:11" x14ac:dyDescent="0.25">
      <c r="A649">
        <v>648</v>
      </c>
      <c r="B649" t="s">
        <v>17</v>
      </c>
      <c r="C649" t="s">
        <v>18</v>
      </c>
      <c r="D649">
        <v>66</v>
      </c>
      <c r="E649">
        <v>1.5</v>
      </c>
      <c r="F649">
        <v>565</v>
      </c>
      <c r="G649">
        <v>17</v>
      </c>
      <c r="H649">
        <v>283</v>
      </c>
      <c r="I649">
        <v>42</v>
      </c>
      <c r="J649" t="s">
        <v>15</v>
      </c>
      <c r="K649">
        <v>1</v>
      </c>
    </row>
    <row r="650" spans="1:11" x14ac:dyDescent="0.25">
      <c r="A650">
        <v>649</v>
      </c>
      <c r="B650" t="s">
        <v>17</v>
      </c>
      <c r="C650" t="s">
        <v>18</v>
      </c>
      <c r="D650">
        <v>389</v>
      </c>
      <c r="E650">
        <v>6.3</v>
      </c>
      <c r="F650">
        <v>2294</v>
      </c>
      <c r="G650">
        <v>76</v>
      </c>
      <c r="H650">
        <v>1334</v>
      </c>
      <c r="I650">
        <v>53</v>
      </c>
      <c r="J650" t="s">
        <v>13</v>
      </c>
      <c r="K650">
        <v>4</v>
      </c>
    </row>
    <row r="651" spans="1:11" x14ac:dyDescent="0.25">
      <c r="A651">
        <v>650</v>
      </c>
      <c r="B651" t="s">
        <v>16</v>
      </c>
      <c r="C651" t="s">
        <v>12</v>
      </c>
      <c r="D651">
        <v>186</v>
      </c>
      <c r="E651">
        <v>5.4</v>
      </c>
      <c r="F651">
        <v>1627</v>
      </c>
      <c r="G651">
        <v>58</v>
      </c>
      <c r="H651">
        <v>790</v>
      </c>
      <c r="I651">
        <v>31</v>
      </c>
      <c r="J651" t="s">
        <v>15</v>
      </c>
      <c r="K651">
        <v>3</v>
      </c>
    </row>
    <row r="652" spans="1:11" x14ac:dyDescent="0.25">
      <c r="A652">
        <v>651</v>
      </c>
      <c r="B652" t="s">
        <v>11</v>
      </c>
      <c r="C652" t="s">
        <v>12</v>
      </c>
      <c r="D652">
        <v>149</v>
      </c>
      <c r="E652">
        <v>2</v>
      </c>
      <c r="F652">
        <v>1041</v>
      </c>
      <c r="G652">
        <v>39</v>
      </c>
      <c r="H652">
        <v>356</v>
      </c>
      <c r="I652">
        <v>49</v>
      </c>
      <c r="J652" t="s">
        <v>13</v>
      </c>
      <c r="K652">
        <v>2</v>
      </c>
    </row>
    <row r="653" spans="1:11" x14ac:dyDescent="0.25">
      <c r="A653">
        <v>652</v>
      </c>
      <c r="B653" t="s">
        <v>17</v>
      </c>
      <c r="C653" t="s">
        <v>18</v>
      </c>
      <c r="D653">
        <v>69</v>
      </c>
      <c r="E653">
        <v>1.7</v>
      </c>
      <c r="F653">
        <v>519</v>
      </c>
      <c r="G653">
        <v>10</v>
      </c>
      <c r="H653">
        <v>167</v>
      </c>
      <c r="I653">
        <v>51</v>
      </c>
      <c r="J653" t="s">
        <v>15</v>
      </c>
      <c r="K653">
        <v>1</v>
      </c>
    </row>
    <row r="654" spans="1:11" x14ac:dyDescent="0.25">
      <c r="A654">
        <v>653</v>
      </c>
      <c r="B654" t="s">
        <v>16</v>
      </c>
      <c r="C654" t="s">
        <v>12</v>
      </c>
      <c r="D654">
        <v>206</v>
      </c>
      <c r="E654">
        <v>5.2</v>
      </c>
      <c r="F654">
        <v>1632</v>
      </c>
      <c r="G654">
        <v>47</v>
      </c>
      <c r="H654">
        <v>694</v>
      </c>
      <c r="I654">
        <v>30</v>
      </c>
      <c r="J654" t="s">
        <v>13</v>
      </c>
      <c r="K654">
        <v>3</v>
      </c>
    </row>
    <row r="655" spans="1:11" x14ac:dyDescent="0.25">
      <c r="A655">
        <v>654</v>
      </c>
      <c r="B655" t="s">
        <v>19</v>
      </c>
      <c r="C655" t="s">
        <v>12</v>
      </c>
      <c r="D655">
        <v>49</v>
      </c>
      <c r="E655">
        <v>1.2</v>
      </c>
      <c r="F655">
        <v>365</v>
      </c>
      <c r="G655">
        <v>19</v>
      </c>
      <c r="H655">
        <v>144</v>
      </c>
      <c r="I655">
        <v>29</v>
      </c>
      <c r="J655" t="s">
        <v>13</v>
      </c>
      <c r="K655">
        <v>1</v>
      </c>
    </row>
    <row r="656" spans="1:11" x14ac:dyDescent="0.25">
      <c r="A656">
        <v>655</v>
      </c>
      <c r="B656" t="s">
        <v>11</v>
      </c>
      <c r="C656" t="s">
        <v>12</v>
      </c>
      <c r="D656">
        <v>594</v>
      </c>
      <c r="E656">
        <v>10.5</v>
      </c>
      <c r="F656">
        <v>2839</v>
      </c>
      <c r="G656">
        <v>91</v>
      </c>
      <c r="H656">
        <v>1647</v>
      </c>
      <c r="I656">
        <v>56</v>
      </c>
      <c r="J656" t="s">
        <v>13</v>
      </c>
      <c r="K656">
        <v>5</v>
      </c>
    </row>
    <row r="657" spans="1:11" x14ac:dyDescent="0.25">
      <c r="A657">
        <v>656</v>
      </c>
      <c r="B657" t="s">
        <v>11</v>
      </c>
      <c r="C657" t="s">
        <v>12</v>
      </c>
      <c r="D657">
        <v>104</v>
      </c>
      <c r="E657">
        <v>3.7</v>
      </c>
      <c r="F657">
        <v>1028</v>
      </c>
      <c r="G657">
        <v>29</v>
      </c>
      <c r="H657">
        <v>493</v>
      </c>
      <c r="I657">
        <v>39</v>
      </c>
      <c r="J657" t="s">
        <v>13</v>
      </c>
      <c r="K657">
        <v>2</v>
      </c>
    </row>
    <row r="658" spans="1:11" x14ac:dyDescent="0.25">
      <c r="A658">
        <v>657</v>
      </c>
      <c r="B658" t="s">
        <v>11</v>
      </c>
      <c r="C658" t="s">
        <v>12</v>
      </c>
      <c r="D658">
        <v>262</v>
      </c>
      <c r="E658">
        <v>5.6</v>
      </c>
      <c r="F658">
        <v>1489</v>
      </c>
      <c r="G658">
        <v>59</v>
      </c>
      <c r="H658">
        <v>628</v>
      </c>
      <c r="I658">
        <v>54</v>
      </c>
      <c r="J658" t="s">
        <v>15</v>
      </c>
      <c r="K658">
        <v>3</v>
      </c>
    </row>
    <row r="659" spans="1:11" x14ac:dyDescent="0.25">
      <c r="A659">
        <v>658</v>
      </c>
      <c r="B659" t="s">
        <v>16</v>
      </c>
      <c r="C659" t="s">
        <v>12</v>
      </c>
      <c r="D659">
        <v>278</v>
      </c>
      <c r="E659">
        <v>5.3</v>
      </c>
      <c r="F659">
        <v>1368</v>
      </c>
      <c r="G659">
        <v>56</v>
      </c>
      <c r="H659">
        <v>894</v>
      </c>
      <c r="I659">
        <v>40</v>
      </c>
      <c r="J659" t="s">
        <v>15</v>
      </c>
      <c r="K659">
        <v>3</v>
      </c>
    </row>
    <row r="660" spans="1:11" x14ac:dyDescent="0.25">
      <c r="A660">
        <v>659</v>
      </c>
      <c r="B660" t="s">
        <v>16</v>
      </c>
      <c r="C660" t="s">
        <v>12</v>
      </c>
      <c r="D660">
        <v>463</v>
      </c>
      <c r="E660">
        <v>6.8</v>
      </c>
      <c r="F660">
        <v>2358</v>
      </c>
      <c r="G660">
        <v>68</v>
      </c>
      <c r="H660">
        <v>1236</v>
      </c>
      <c r="I660">
        <v>43</v>
      </c>
      <c r="J660" t="s">
        <v>15</v>
      </c>
      <c r="K660">
        <v>4</v>
      </c>
    </row>
    <row r="661" spans="1:11" x14ac:dyDescent="0.25">
      <c r="A661">
        <v>660</v>
      </c>
      <c r="B661" t="s">
        <v>16</v>
      </c>
      <c r="C661" t="s">
        <v>12</v>
      </c>
      <c r="D661">
        <v>505</v>
      </c>
      <c r="E661">
        <v>9.6</v>
      </c>
      <c r="F661">
        <v>2464</v>
      </c>
      <c r="G661">
        <v>91</v>
      </c>
      <c r="H661">
        <v>2375</v>
      </c>
      <c r="I661">
        <v>35</v>
      </c>
      <c r="J661" t="s">
        <v>13</v>
      </c>
      <c r="K661">
        <v>5</v>
      </c>
    </row>
    <row r="662" spans="1:11" x14ac:dyDescent="0.25">
      <c r="A662">
        <v>661</v>
      </c>
      <c r="B662" t="s">
        <v>11</v>
      </c>
      <c r="C662" t="s">
        <v>12</v>
      </c>
      <c r="D662">
        <v>50</v>
      </c>
      <c r="E662">
        <v>1.5</v>
      </c>
      <c r="F662">
        <v>387</v>
      </c>
      <c r="G662">
        <v>12</v>
      </c>
      <c r="H662">
        <v>146</v>
      </c>
      <c r="I662">
        <v>59</v>
      </c>
      <c r="J662" t="s">
        <v>13</v>
      </c>
      <c r="K662">
        <v>1</v>
      </c>
    </row>
    <row r="663" spans="1:11" x14ac:dyDescent="0.25">
      <c r="A663">
        <v>662</v>
      </c>
      <c r="B663" t="s">
        <v>16</v>
      </c>
      <c r="C663" t="s">
        <v>12</v>
      </c>
      <c r="D663">
        <v>138</v>
      </c>
      <c r="E663">
        <v>3.1</v>
      </c>
      <c r="F663">
        <v>947</v>
      </c>
      <c r="G663">
        <v>29</v>
      </c>
      <c r="H663">
        <v>545</v>
      </c>
      <c r="I663">
        <v>48</v>
      </c>
      <c r="J663" t="s">
        <v>13</v>
      </c>
      <c r="K663">
        <v>2</v>
      </c>
    </row>
    <row r="664" spans="1:11" x14ac:dyDescent="0.25">
      <c r="A664">
        <v>663</v>
      </c>
      <c r="B664" t="s">
        <v>16</v>
      </c>
      <c r="C664" t="s">
        <v>12</v>
      </c>
      <c r="D664">
        <v>130</v>
      </c>
      <c r="E664">
        <v>3.2</v>
      </c>
      <c r="F664">
        <v>1189</v>
      </c>
      <c r="G664">
        <v>37</v>
      </c>
      <c r="H664">
        <v>448</v>
      </c>
      <c r="I664">
        <v>45</v>
      </c>
      <c r="J664" t="s">
        <v>13</v>
      </c>
      <c r="K664">
        <v>2</v>
      </c>
    </row>
    <row r="665" spans="1:11" x14ac:dyDescent="0.25">
      <c r="A665">
        <v>664</v>
      </c>
      <c r="B665" t="s">
        <v>11</v>
      </c>
      <c r="C665" t="s">
        <v>12</v>
      </c>
      <c r="D665">
        <v>469</v>
      </c>
      <c r="E665">
        <v>6.4</v>
      </c>
      <c r="F665">
        <v>1858</v>
      </c>
      <c r="G665">
        <v>78</v>
      </c>
      <c r="H665">
        <v>1297</v>
      </c>
      <c r="I665">
        <v>55</v>
      </c>
      <c r="J665" t="s">
        <v>15</v>
      </c>
      <c r="K665">
        <v>4</v>
      </c>
    </row>
    <row r="666" spans="1:11" x14ac:dyDescent="0.25">
      <c r="A666">
        <v>665</v>
      </c>
      <c r="B666" t="s">
        <v>16</v>
      </c>
      <c r="C666" t="s">
        <v>12</v>
      </c>
      <c r="D666">
        <v>555</v>
      </c>
      <c r="E666">
        <v>10.3</v>
      </c>
      <c r="F666">
        <v>2568</v>
      </c>
      <c r="G666">
        <v>83</v>
      </c>
      <c r="H666">
        <v>2003</v>
      </c>
      <c r="I666">
        <v>52</v>
      </c>
      <c r="J666" t="s">
        <v>13</v>
      </c>
      <c r="K666">
        <v>5</v>
      </c>
    </row>
    <row r="667" spans="1:11" x14ac:dyDescent="0.25">
      <c r="A667">
        <v>666</v>
      </c>
      <c r="B667" t="s">
        <v>17</v>
      </c>
      <c r="C667" t="s">
        <v>18</v>
      </c>
      <c r="D667">
        <v>198</v>
      </c>
      <c r="E667">
        <v>5.4</v>
      </c>
      <c r="F667">
        <v>1544</v>
      </c>
      <c r="G667">
        <v>53</v>
      </c>
      <c r="H667">
        <v>635</v>
      </c>
      <c r="I667">
        <v>53</v>
      </c>
      <c r="J667" t="s">
        <v>13</v>
      </c>
      <c r="K667">
        <v>3</v>
      </c>
    </row>
    <row r="668" spans="1:11" x14ac:dyDescent="0.25">
      <c r="A668">
        <v>667</v>
      </c>
      <c r="B668" t="s">
        <v>19</v>
      </c>
      <c r="C668" t="s">
        <v>12</v>
      </c>
      <c r="D668">
        <v>529</v>
      </c>
      <c r="E668">
        <v>11.4</v>
      </c>
      <c r="F668">
        <v>2891</v>
      </c>
      <c r="G668">
        <v>82</v>
      </c>
      <c r="H668">
        <v>1845</v>
      </c>
      <c r="I668">
        <v>46</v>
      </c>
      <c r="J668" t="s">
        <v>13</v>
      </c>
      <c r="K668">
        <v>5</v>
      </c>
    </row>
    <row r="669" spans="1:11" x14ac:dyDescent="0.25">
      <c r="A669">
        <v>668</v>
      </c>
      <c r="B669" t="s">
        <v>19</v>
      </c>
      <c r="C669" t="s">
        <v>12</v>
      </c>
      <c r="D669">
        <v>205</v>
      </c>
      <c r="E669">
        <v>5.5</v>
      </c>
      <c r="F669">
        <v>1699</v>
      </c>
      <c r="G669">
        <v>49</v>
      </c>
      <c r="H669">
        <v>729</v>
      </c>
      <c r="I669">
        <v>36</v>
      </c>
      <c r="J669" t="s">
        <v>13</v>
      </c>
      <c r="K669">
        <v>3</v>
      </c>
    </row>
    <row r="670" spans="1:11" x14ac:dyDescent="0.25">
      <c r="A670">
        <v>669</v>
      </c>
      <c r="B670" t="s">
        <v>17</v>
      </c>
      <c r="C670" t="s">
        <v>18</v>
      </c>
      <c r="D670">
        <v>170</v>
      </c>
      <c r="E670">
        <v>2.4</v>
      </c>
      <c r="F670">
        <v>1039</v>
      </c>
      <c r="G670">
        <v>38</v>
      </c>
      <c r="H670">
        <v>334</v>
      </c>
      <c r="I670">
        <v>23</v>
      </c>
      <c r="J670" t="s">
        <v>13</v>
      </c>
      <c r="K670">
        <v>2</v>
      </c>
    </row>
    <row r="671" spans="1:11" x14ac:dyDescent="0.25">
      <c r="A671">
        <v>670</v>
      </c>
      <c r="B671" t="s">
        <v>19</v>
      </c>
      <c r="C671" t="s">
        <v>12</v>
      </c>
      <c r="D671">
        <v>160</v>
      </c>
      <c r="E671">
        <v>3.2</v>
      </c>
      <c r="F671">
        <v>648</v>
      </c>
      <c r="G671">
        <v>31</v>
      </c>
      <c r="H671">
        <v>339</v>
      </c>
      <c r="I671">
        <v>27</v>
      </c>
      <c r="J671" t="s">
        <v>15</v>
      </c>
      <c r="K671">
        <v>2</v>
      </c>
    </row>
    <row r="672" spans="1:11" x14ac:dyDescent="0.25">
      <c r="A672">
        <v>671</v>
      </c>
      <c r="B672" t="s">
        <v>17</v>
      </c>
      <c r="C672" t="s">
        <v>18</v>
      </c>
      <c r="D672">
        <v>81</v>
      </c>
      <c r="E672">
        <v>1.6</v>
      </c>
      <c r="F672">
        <v>387</v>
      </c>
      <c r="G672">
        <v>13</v>
      </c>
      <c r="H672">
        <v>224</v>
      </c>
      <c r="I672">
        <v>48</v>
      </c>
      <c r="J672" t="s">
        <v>13</v>
      </c>
      <c r="K672">
        <v>1</v>
      </c>
    </row>
    <row r="673" spans="1:11" x14ac:dyDescent="0.25">
      <c r="A673">
        <v>672</v>
      </c>
      <c r="B673" t="s">
        <v>11</v>
      </c>
      <c r="C673" t="s">
        <v>12</v>
      </c>
      <c r="D673">
        <v>468</v>
      </c>
      <c r="E673">
        <v>7.3</v>
      </c>
      <c r="F673">
        <v>1937</v>
      </c>
      <c r="G673">
        <v>64</v>
      </c>
      <c r="H673">
        <v>1209</v>
      </c>
      <c r="I673">
        <v>22</v>
      </c>
      <c r="J673" t="s">
        <v>13</v>
      </c>
      <c r="K673">
        <v>4</v>
      </c>
    </row>
    <row r="674" spans="1:11" x14ac:dyDescent="0.25">
      <c r="A674">
        <v>673</v>
      </c>
      <c r="B674" t="s">
        <v>16</v>
      </c>
      <c r="C674" t="s">
        <v>12</v>
      </c>
      <c r="D674">
        <v>500</v>
      </c>
      <c r="E674">
        <v>11.2</v>
      </c>
      <c r="F674">
        <v>2925</v>
      </c>
      <c r="G674">
        <v>84</v>
      </c>
      <c r="H674">
        <v>2438</v>
      </c>
      <c r="I674">
        <v>27</v>
      </c>
      <c r="J674" t="s">
        <v>13</v>
      </c>
      <c r="K674">
        <v>5</v>
      </c>
    </row>
    <row r="675" spans="1:11" x14ac:dyDescent="0.25">
      <c r="A675">
        <v>674</v>
      </c>
      <c r="B675" t="s">
        <v>11</v>
      </c>
      <c r="C675" t="s">
        <v>12</v>
      </c>
      <c r="D675">
        <v>37</v>
      </c>
      <c r="E675">
        <v>1.6</v>
      </c>
      <c r="F675">
        <v>490</v>
      </c>
      <c r="G675">
        <v>18</v>
      </c>
      <c r="H675">
        <v>216</v>
      </c>
      <c r="I675">
        <v>52</v>
      </c>
      <c r="J675" t="s">
        <v>13</v>
      </c>
      <c r="K675">
        <v>1</v>
      </c>
    </row>
    <row r="676" spans="1:11" x14ac:dyDescent="0.25">
      <c r="A676">
        <v>675</v>
      </c>
      <c r="B676" t="s">
        <v>16</v>
      </c>
      <c r="C676" t="s">
        <v>12</v>
      </c>
      <c r="D676">
        <v>522</v>
      </c>
      <c r="E676">
        <v>11.4</v>
      </c>
      <c r="F676">
        <v>2776</v>
      </c>
      <c r="G676">
        <v>93</v>
      </c>
      <c r="H676">
        <v>1768</v>
      </c>
      <c r="I676">
        <v>27</v>
      </c>
      <c r="J676" t="s">
        <v>15</v>
      </c>
      <c r="K676">
        <v>5</v>
      </c>
    </row>
    <row r="677" spans="1:11" x14ac:dyDescent="0.25">
      <c r="A677">
        <v>676</v>
      </c>
      <c r="B677" t="s">
        <v>16</v>
      </c>
      <c r="C677" t="s">
        <v>12</v>
      </c>
      <c r="D677">
        <v>81</v>
      </c>
      <c r="E677">
        <v>1.5</v>
      </c>
      <c r="F677">
        <v>545</v>
      </c>
      <c r="G677">
        <v>17</v>
      </c>
      <c r="H677">
        <v>159</v>
      </c>
      <c r="I677">
        <v>40</v>
      </c>
      <c r="J677" t="s">
        <v>13</v>
      </c>
      <c r="K677">
        <v>1</v>
      </c>
    </row>
    <row r="678" spans="1:11" x14ac:dyDescent="0.25">
      <c r="A678">
        <v>677</v>
      </c>
      <c r="B678" t="s">
        <v>14</v>
      </c>
      <c r="C678" t="s">
        <v>12</v>
      </c>
      <c r="D678">
        <v>141</v>
      </c>
      <c r="E678">
        <v>3.8</v>
      </c>
      <c r="F678">
        <v>689</v>
      </c>
      <c r="G678">
        <v>38</v>
      </c>
      <c r="H678">
        <v>576</v>
      </c>
      <c r="I678">
        <v>34</v>
      </c>
      <c r="J678" t="s">
        <v>13</v>
      </c>
      <c r="K678">
        <v>2</v>
      </c>
    </row>
    <row r="679" spans="1:11" x14ac:dyDescent="0.25">
      <c r="A679">
        <v>678</v>
      </c>
      <c r="B679" t="s">
        <v>19</v>
      </c>
      <c r="C679" t="s">
        <v>12</v>
      </c>
      <c r="D679">
        <v>115</v>
      </c>
      <c r="E679">
        <v>3.5</v>
      </c>
      <c r="F679">
        <v>706</v>
      </c>
      <c r="G679">
        <v>26</v>
      </c>
      <c r="H679">
        <v>495</v>
      </c>
      <c r="I679">
        <v>52</v>
      </c>
      <c r="J679" t="s">
        <v>15</v>
      </c>
      <c r="K679">
        <v>2</v>
      </c>
    </row>
    <row r="680" spans="1:11" x14ac:dyDescent="0.25">
      <c r="A680">
        <v>679</v>
      </c>
      <c r="B680" t="s">
        <v>11</v>
      </c>
      <c r="C680" t="s">
        <v>12</v>
      </c>
      <c r="D680">
        <v>298</v>
      </c>
      <c r="E680">
        <v>4.5999999999999996</v>
      </c>
      <c r="F680">
        <v>1525</v>
      </c>
      <c r="G680">
        <v>59</v>
      </c>
      <c r="H680">
        <v>814</v>
      </c>
      <c r="I680">
        <v>36</v>
      </c>
      <c r="J680" t="s">
        <v>15</v>
      </c>
      <c r="K680">
        <v>3</v>
      </c>
    </row>
    <row r="681" spans="1:11" x14ac:dyDescent="0.25">
      <c r="A681">
        <v>680</v>
      </c>
      <c r="B681" t="s">
        <v>17</v>
      </c>
      <c r="C681" t="s">
        <v>18</v>
      </c>
      <c r="D681">
        <v>33</v>
      </c>
      <c r="E681">
        <v>1.8</v>
      </c>
      <c r="F681">
        <v>334</v>
      </c>
      <c r="G681">
        <v>16</v>
      </c>
      <c r="H681">
        <v>113</v>
      </c>
      <c r="I681">
        <v>36</v>
      </c>
      <c r="J681" t="s">
        <v>15</v>
      </c>
      <c r="K681">
        <v>1</v>
      </c>
    </row>
    <row r="682" spans="1:11" x14ac:dyDescent="0.25">
      <c r="A682">
        <v>681</v>
      </c>
      <c r="B682" t="s">
        <v>11</v>
      </c>
      <c r="C682" t="s">
        <v>12</v>
      </c>
      <c r="D682">
        <v>307</v>
      </c>
      <c r="E682">
        <v>6.1</v>
      </c>
      <c r="F682">
        <v>2105</v>
      </c>
      <c r="G682">
        <v>76</v>
      </c>
      <c r="H682">
        <v>1111</v>
      </c>
      <c r="I682">
        <v>25</v>
      </c>
      <c r="J682" t="s">
        <v>15</v>
      </c>
      <c r="K682">
        <v>4</v>
      </c>
    </row>
    <row r="683" spans="1:11" x14ac:dyDescent="0.25">
      <c r="A683">
        <v>682</v>
      </c>
      <c r="B683" t="s">
        <v>16</v>
      </c>
      <c r="C683" t="s">
        <v>12</v>
      </c>
      <c r="D683">
        <v>380</v>
      </c>
      <c r="E683">
        <v>7.6</v>
      </c>
      <c r="F683">
        <v>2354</v>
      </c>
      <c r="G683">
        <v>77</v>
      </c>
      <c r="H683">
        <v>1191</v>
      </c>
      <c r="I683">
        <v>30</v>
      </c>
      <c r="J683" t="s">
        <v>13</v>
      </c>
      <c r="K683">
        <v>4</v>
      </c>
    </row>
    <row r="684" spans="1:11" x14ac:dyDescent="0.25">
      <c r="A684">
        <v>683</v>
      </c>
      <c r="B684" t="s">
        <v>16</v>
      </c>
      <c r="C684" t="s">
        <v>12</v>
      </c>
      <c r="D684">
        <v>190</v>
      </c>
      <c r="E684">
        <v>5.5</v>
      </c>
      <c r="F684">
        <v>1718</v>
      </c>
      <c r="G684">
        <v>58</v>
      </c>
      <c r="H684">
        <v>815</v>
      </c>
      <c r="I684">
        <v>42</v>
      </c>
      <c r="J684" t="s">
        <v>13</v>
      </c>
      <c r="K684">
        <v>3</v>
      </c>
    </row>
    <row r="685" spans="1:11" x14ac:dyDescent="0.25">
      <c r="A685">
        <v>684</v>
      </c>
      <c r="B685" t="s">
        <v>19</v>
      </c>
      <c r="C685" t="s">
        <v>12</v>
      </c>
      <c r="D685">
        <v>75</v>
      </c>
      <c r="E685">
        <v>1.6</v>
      </c>
      <c r="F685">
        <v>325</v>
      </c>
      <c r="G685">
        <v>12</v>
      </c>
      <c r="H685">
        <v>225</v>
      </c>
      <c r="I685">
        <v>45</v>
      </c>
      <c r="J685" t="s">
        <v>13</v>
      </c>
      <c r="K685">
        <v>1</v>
      </c>
    </row>
    <row r="686" spans="1:11" x14ac:dyDescent="0.25">
      <c r="A686">
        <v>685</v>
      </c>
      <c r="B686" t="s">
        <v>11</v>
      </c>
      <c r="C686" t="s">
        <v>12</v>
      </c>
      <c r="D686">
        <v>218</v>
      </c>
      <c r="E686">
        <v>4</v>
      </c>
      <c r="F686">
        <v>1221</v>
      </c>
      <c r="G686">
        <v>47</v>
      </c>
      <c r="H686">
        <v>822</v>
      </c>
      <c r="I686">
        <v>25</v>
      </c>
      <c r="J686" t="s">
        <v>13</v>
      </c>
      <c r="K686">
        <v>3</v>
      </c>
    </row>
    <row r="687" spans="1:11" x14ac:dyDescent="0.25">
      <c r="A687">
        <v>686</v>
      </c>
      <c r="B687" t="s">
        <v>16</v>
      </c>
      <c r="C687" t="s">
        <v>12</v>
      </c>
      <c r="D687">
        <v>412</v>
      </c>
      <c r="E687">
        <v>6.6</v>
      </c>
      <c r="F687">
        <v>1859</v>
      </c>
      <c r="G687">
        <v>67</v>
      </c>
      <c r="H687">
        <v>1393</v>
      </c>
      <c r="I687">
        <v>18</v>
      </c>
      <c r="J687" t="s">
        <v>13</v>
      </c>
      <c r="K687">
        <v>4</v>
      </c>
    </row>
    <row r="688" spans="1:11" x14ac:dyDescent="0.25">
      <c r="A688">
        <v>687</v>
      </c>
      <c r="B688" t="s">
        <v>11</v>
      </c>
      <c r="C688" t="s">
        <v>12</v>
      </c>
      <c r="D688">
        <v>335</v>
      </c>
      <c r="E688">
        <v>7.7</v>
      </c>
      <c r="F688">
        <v>2037</v>
      </c>
      <c r="G688">
        <v>68</v>
      </c>
      <c r="H688">
        <v>1007</v>
      </c>
      <c r="I688">
        <v>18</v>
      </c>
      <c r="J688" t="s">
        <v>13</v>
      </c>
      <c r="K688">
        <v>4</v>
      </c>
    </row>
    <row r="689" spans="1:11" x14ac:dyDescent="0.25">
      <c r="A689">
        <v>688</v>
      </c>
      <c r="B689" t="s">
        <v>14</v>
      </c>
      <c r="C689" t="s">
        <v>12</v>
      </c>
      <c r="D689">
        <v>387</v>
      </c>
      <c r="E689">
        <v>6.3</v>
      </c>
      <c r="F689">
        <v>2098</v>
      </c>
      <c r="G689">
        <v>61</v>
      </c>
      <c r="H689">
        <v>1178</v>
      </c>
      <c r="I689">
        <v>54</v>
      </c>
      <c r="J689" t="s">
        <v>13</v>
      </c>
      <c r="K689">
        <v>4</v>
      </c>
    </row>
    <row r="690" spans="1:11" x14ac:dyDescent="0.25">
      <c r="A690">
        <v>689</v>
      </c>
      <c r="B690" t="s">
        <v>11</v>
      </c>
      <c r="C690" t="s">
        <v>12</v>
      </c>
      <c r="D690">
        <v>261</v>
      </c>
      <c r="E690">
        <v>4.9000000000000004</v>
      </c>
      <c r="F690">
        <v>1589</v>
      </c>
      <c r="G690">
        <v>56</v>
      </c>
      <c r="H690">
        <v>824</v>
      </c>
      <c r="I690">
        <v>52</v>
      </c>
      <c r="J690" t="s">
        <v>15</v>
      </c>
      <c r="K690">
        <v>3</v>
      </c>
    </row>
    <row r="691" spans="1:11" x14ac:dyDescent="0.25">
      <c r="A691">
        <v>690</v>
      </c>
      <c r="B691" t="s">
        <v>19</v>
      </c>
      <c r="C691" t="s">
        <v>12</v>
      </c>
      <c r="D691">
        <v>541</v>
      </c>
      <c r="E691">
        <v>9.5</v>
      </c>
      <c r="F691">
        <v>2424</v>
      </c>
      <c r="G691">
        <v>98</v>
      </c>
      <c r="H691">
        <v>1550</v>
      </c>
      <c r="I691">
        <v>32</v>
      </c>
      <c r="J691" t="s">
        <v>13</v>
      </c>
      <c r="K691">
        <v>5</v>
      </c>
    </row>
    <row r="692" spans="1:11" x14ac:dyDescent="0.25">
      <c r="A692">
        <v>691</v>
      </c>
      <c r="B692" t="s">
        <v>11</v>
      </c>
      <c r="C692" t="s">
        <v>12</v>
      </c>
      <c r="D692">
        <v>195</v>
      </c>
      <c r="E692">
        <v>5.7</v>
      </c>
      <c r="F692">
        <v>1447</v>
      </c>
      <c r="G692">
        <v>48</v>
      </c>
      <c r="H692">
        <v>679</v>
      </c>
      <c r="I692">
        <v>30</v>
      </c>
      <c r="J692" t="s">
        <v>13</v>
      </c>
      <c r="K692">
        <v>3</v>
      </c>
    </row>
    <row r="693" spans="1:11" x14ac:dyDescent="0.25">
      <c r="A693">
        <v>692</v>
      </c>
      <c r="B693" t="s">
        <v>17</v>
      </c>
      <c r="C693" t="s">
        <v>18</v>
      </c>
      <c r="D693">
        <v>178</v>
      </c>
      <c r="E693">
        <v>4</v>
      </c>
      <c r="F693">
        <v>856</v>
      </c>
      <c r="G693">
        <v>37</v>
      </c>
      <c r="H693">
        <v>569</v>
      </c>
      <c r="I693">
        <v>51</v>
      </c>
      <c r="J693" t="s">
        <v>15</v>
      </c>
      <c r="K693">
        <v>2</v>
      </c>
    </row>
    <row r="694" spans="1:11" x14ac:dyDescent="0.25">
      <c r="A694">
        <v>693</v>
      </c>
      <c r="B694" t="s">
        <v>16</v>
      </c>
      <c r="C694" t="s">
        <v>12</v>
      </c>
      <c r="D694">
        <v>378</v>
      </c>
      <c r="E694">
        <v>6.7</v>
      </c>
      <c r="F694">
        <v>1898</v>
      </c>
      <c r="G694">
        <v>78</v>
      </c>
      <c r="H694">
        <v>1455</v>
      </c>
      <c r="I694">
        <v>48</v>
      </c>
      <c r="J694" t="s">
        <v>15</v>
      </c>
      <c r="K694">
        <v>4</v>
      </c>
    </row>
    <row r="695" spans="1:11" x14ac:dyDescent="0.25">
      <c r="A695">
        <v>694</v>
      </c>
      <c r="B695" t="s">
        <v>16</v>
      </c>
      <c r="C695" t="s">
        <v>12</v>
      </c>
      <c r="D695">
        <v>505</v>
      </c>
      <c r="E695">
        <v>8.6</v>
      </c>
      <c r="F695">
        <v>2792</v>
      </c>
      <c r="G695">
        <v>82</v>
      </c>
      <c r="H695">
        <v>1709</v>
      </c>
      <c r="I695">
        <v>31</v>
      </c>
      <c r="J695" t="s">
        <v>13</v>
      </c>
      <c r="K695">
        <v>5</v>
      </c>
    </row>
    <row r="696" spans="1:11" x14ac:dyDescent="0.25">
      <c r="A696">
        <v>695</v>
      </c>
      <c r="B696" t="s">
        <v>19</v>
      </c>
      <c r="C696" t="s">
        <v>12</v>
      </c>
      <c r="D696">
        <v>564</v>
      </c>
      <c r="E696">
        <v>9.6999999999999993</v>
      </c>
      <c r="F696">
        <v>2422</v>
      </c>
      <c r="G696">
        <v>83</v>
      </c>
      <c r="H696">
        <v>1985</v>
      </c>
      <c r="I696">
        <v>34</v>
      </c>
      <c r="J696" t="s">
        <v>15</v>
      </c>
      <c r="K696">
        <v>5</v>
      </c>
    </row>
    <row r="697" spans="1:11" x14ac:dyDescent="0.25">
      <c r="A697">
        <v>696</v>
      </c>
      <c r="B697" t="s">
        <v>17</v>
      </c>
      <c r="C697" t="s">
        <v>18</v>
      </c>
      <c r="D697">
        <v>92</v>
      </c>
      <c r="E697">
        <v>3.9</v>
      </c>
      <c r="F697">
        <v>1082</v>
      </c>
      <c r="G697">
        <v>26</v>
      </c>
      <c r="H697">
        <v>381</v>
      </c>
      <c r="I697">
        <v>22</v>
      </c>
      <c r="J697" t="s">
        <v>13</v>
      </c>
      <c r="K697">
        <v>2</v>
      </c>
    </row>
    <row r="698" spans="1:11" x14ac:dyDescent="0.25">
      <c r="A698">
        <v>697</v>
      </c>
      <c r="B698" t="s">
        <v>16</v>
      </c>
      <c r="C698" t="s">
        <v>12</v>
      </c>
      <c r="D698">
        <v>316</v>
      </c>
      <c r="E698">
        <v>6.8</v>
      </c>
      <c r="F698">
        <v>1965</v>
      </c>
      <c r="G698">
        <v>68</v>
      </c>
      <c r="H698">
        <v>1201</v>
      </c>
      <c r="I698">
        <v>59</v>
      </c>
      <c r="J698" t="s">
        <v>13</v>
      </c>
      <c r="K698">
        <v>4</v>
      </c>
    </row>
    <row r="699" spans="1:11" x14ac:dyDescent="0.25">
      <c r="A699">
        <v>698</v>
      </c>
      <c r="B699" t="s">
        <v>11</v>
      </c>
      <c r="C699" t="s">
        <v>12</v>
      </c>
      <c r="D699">
        <v>99</v>
      </c>
      <c r="E699">
        <v>3.1</v>
      </c>
      <c r="F699">
        <v>942</v>
      </c>
      <c r="G699">
        <v>22</v>
      </c>
      <c r="H699">
        <v>457</v>
      </c>
      <c r="I699">
        <v>50</v>
      </c>
      <c r="J699" t="s">
        <v>15</v>
      </c>
      <c r="K699">
        <v>2</v>
      </c>
    </row>
    <row r="700" spans="1:11" x14ac:dyDescent="0.25">
      <c r="A700">
        <v>699</v>
      </c>
      <c r="B700" t="s">
        <v>19</v>
      </c>
      <c r="C700" t="s">
        <v>12</v>
      </c>
      <c r="D700">
        <v>62</v>
      </c>
      <c r="E700">
        <v>1.7</v>
      </c>
      <c r="F700">
        <v>431</v>
      </c>
      <c r="G700">
        <v>13</v>
      </c>
      <c r="H700">
        <v>224</v>
      </c>
      <c r="I700">
        <v>44</v>
      </c>
      <c r="J700" t="s">
        <v>13</v>
      </c>
      <c r="K700">
        <v>1</v>
      </c>
    </row>
    <row r="701" spans="1:11" x14ac:dyDescent="0.25">
      <c r="A701">
        <v>700</v>
      </c>
      <c r="B701" t="s">
        <v>14</v>
      </c>
      <c r="C701" t="s">
        <v>12</v>
      </c>
      <c r="D701">
        <v>212</v>
      </c>
      <c r="E701">
        <v>5.4</v>
      </c>
      <c r="F701">
        <v>1306</v>
      </c>
      <c r="G701">
        <v>49</v>
      </c>
      <c r="H701">
        <v>828</v>
      </c>
      <c r="I701">
        <v>23</v>
      </c>
      <c r="J701" t="s">
        <v>15</v>
      </c>
      <c r="K70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1"/>
  <sheetViews>
    <sheetView topLeftCell="A2" workbookViewId="0">
      <selection activeCell="B16" sqref="B16"/>
    </sheetView>
  </sheetViews>
  <sheetFormatPr defaultRowHeight="15" x14ac:dyDescent="0.25"/>
  <cols>
    <col min="1" max="1" width="9.5703125" bestFit="1" customWidth="1"/>
    <col min="2" max="2" width="18.85546875" bestFit="1" customWidth="1"/>
    <col min="3" max="3" width="19.140625" bestFit="1" customWidth="1"/>
    <col min="4" max="4" width="27.140625" customWidth="1"/>
    <col min="5" max="5" width="28.5703125" customWidth="1"/>
    <col min="6" max="6" width="25.28515625" bestFit="1" customWidth="1"/>
    <col min="7" max="7" width="26.28515625" bestFit="1" customWidth="1"/>
    <col min="8" max="8" width="22" customWidth="1"/>
    <col min="9" max="9" width="6.7109375" bestFit="1" customWidth="1"/>
    <col min="10" max="10" width="11.140625" bestFit="1" customWidth="1"/>
    <col min="11" max="11" width="14.28515625" bestFit="1" customWidth="1"/>
    <col min="12" max="12" width="9.85546875" bestFit="1" customWidth="1"/>
    <col min="13" max="13" width="20.7109375" bestFit="1" customWidth="1"/>
    <col min="14" max="14" width="28.85546875" customWidth="1"/>
  </cols>
  <sheetData>
    <row r="1" spans="1:14" x14ac:dyDescent="0.25">
      <c r="A1" t="s">
        <v>0</v>
      </c>
      <c r="B1" t="s">
        <v>1</v>
      </c>
      <c r="C1" t="s">
        <v>2</v>
      </c>
      <c r="D1" t="s">
        <v>3</v>
      </c>
      <c r="E1" t="s">
        <v>4</v>
      </c>
      <c r="F1" t="s">
        <v>5</v>
      </c>
      <c r="G1" t="s">
        <v>6</v>
      </c>
      <c r="H1" t="s">
        <v>7</v>
      </c>
      <c r="I1" t="s">
        <v>8</v>
      </c>
      <c r="J1" t="s">
        <v>53</v>
      </c>
      <c r="K1" t="s">
        <v>54</v>
      </c>
      <c r="L1" t="s">
        <v>9</v>
      </c>
      <c r="M1" t="s">
        <v>10</v>
      </c>
      <c r="N1" t="s">
        <v>20</v>
      </c>
    </row>
    <row r="2" spans="1:14" x14ac:dyDescent="0.25">
      <c r="A2">
        <v>1</v>
      </c>
      <c r="B2" t="s">
        <v>11</v>
      </c>
      <c r="C2" t="s">
        <v>12</v>
      </c>
      <c r="D2">
        <v>393</v>
      </c>
      <c r="E2">
        <v>6.4</v>
      </c>
      <c r="F2">
        <v>1872</v>
      </c>
      <c r="G2">
        <v>67</v>
      </c>
      <c r="H2">
        <v>1122</v>
      </c>
      <c r="I2">
        <v>40</v>
      </c>
      <c r="J2" t="str">
        <f>IF(Table2[[#This Row],[Age]]&lt;=24, "18 - 24", IF(Table2[[#This Row],[Age]]&lt;=34, "25 - 34", IF(Table2[[#This Row],[Age]]&lt;=44, "35 - 44", IF(Table2[[#This Row],[Age]]&lt;=54, "45 - 54", "55 - 59"))))</f>
        <v>35 - 44</v>
      </c>
      <c r="K2" t="str">
        <f>IF(Table2[[#This Row],[Age]]&lt;=24, "Young Adults", IF(Table2[[#This Row],[Age]]&lt;=34, "Early Career", IF(Table2[[#This Row],[Age]]&lt;=44, "Mid Career", IF(Table2[[#This Row],[Age]]&lt;=54, "Mature Adults", "Pre-retirment"))))</f>
        <v>Mid Career</v>
      </c>
      <c r="L2" t="s">
        <v>13</v>
      </c>
      <c r="M2">
        <v>4</v>
      </c>
      <c r="N2" t="str">
        <f>IF(M2&lt;=2, "Light User", IF(M2=3, "Moderate User", "Heavy User"))</f>
        <v>Heavy User</v>
      </c>
    </row>
    <row r="3" spans="1:14" x14ac:dyDescent="0.25">
      <c r="A3">
        <v>2</v>
      </c>
      <c r="B3" t="s">
        <v>14</v>
      </c>
      <c r="C3" t="s">
        <v>12</v>
      </c>
      <c r="D3">
        <v>268</v>
      </c>
      <c r="E3">
        <v>4.7</v>
      </c>
      <c r="F3">
        <v>1331</v>
      </c>
      <c r="G3">
        <v>42</v>
      </c>
      <c r="H3">
        <v>944</v>
      </c>
      <c r="I3">
        <v>47</v>
      </c>
      <c r="J3" t="str">
        <f>IF(Table2[[#This Row],[Age]]&lt;=24, "18 - 24", IF(Table2[[#This Row],[Age]]&lt;=34, "25 - 34", IF(Table2[[#This Row],[Age]]&lt;=44, "35 - 44", IF(Table2[[#This Row],[Age]]&lt;=54, "45 - 54", "55 - 59"))))</f>
        <v>45 - 54</v>
      </c>
      <c r="K3" t="str">
        <f>IF(Table2[[#This Row],[Age]]&lt;=24, "Young Adults", IF(Table2[[#This Row],[Age]]&lt;=34, "Early Career", IF(Table2[[#This Row],[Age]]&lt;=44, "Mid Career", IF(Table2[[#This Row],[Age]]&lt;=54, "Mature Adults", "Pre-retirment"))))</f>
        <v>Mature Adults</v>
      </c>
      <c r="L3" t="s">
        <v>15</v>
      </c>
      <c r="M3">
        <v>3</v>
      </c>
      <c r="N3" t="str">
        <f t="shared" ref="N3:N66" si="0">IF(M3&lt;=2, "Light User", IF(M3=3, "Moderate User", "Heavy User"))</f>
        <v>Moderate User</v>
      </c>
    </row>
    <row r="4" spans="1:14" x14ac:dyDescent="0.25">
      <c r="A4">
        <v>3</v>
      </c>
      <c r="B4" t="s">
        <v>16</v>
      </c>
      <c r="C4" t="s">
        <v>12</v>
      </c>
      <c r="D4">
        <v>154</v>
      </c>
      <c r="E4">
        <v>4</v>
      </c>
      <c r="F4">
        <v>761</v>
      </c>
      <c r="G4">
        <v>32</v>
      </c>
      <c r="H4">
        <v>322</v>
      </c>
      <c r="I4">
        <v>42</v>
      </c>
      <c r="J4" t="str">
        <f>IF(Table2[[#This Row],[Age]]&lt;=24, "18 - 24", IF(Table2[[#This Row],[Age]]&lt;=34, "25 - 34", IF(Table2[[#This Row],[Age]]&lt;=44, "35 - 44", IF(Table2[[#This Row],[Age]]&lt;=54, "45 - 54", "55 - 59"))))</f>
        <v>35 - 44</v>
      </c>
      <c r="K4" t="str">
        <f>IF(Table2[[#This Row],[Age]]&lt;=24, "Young Adults", IF(Table2[[#This Row],[Age]]&lt;=34, "Early Career", IF(Table2[[#This Row],[Age]]&lt;=44, "Mid Career", IF(Table2[[#This Row],[Age]]&lt;=54, "Mature Adults", "Pre-retirment"))))</f>
        <v>Mid Career</v>
      </c>
      <c r="L4" t="s">
        <v>13</v>
      </c>
      <c r="M4">
        <v>2</v>
      </c>
      <c r="N4" t="str">
        <f t="shared" si="0"/>
        <v>Light User</v>
      </c>
    </row>
    <row r="5" spans="1:14" x14ac:dyDescent="0.25">
      <c r="A5">
        <v>4</v>
      </c>
      <c r="B5" t="s">
        <v>11</v>
      </c>
      <c r="C5" t="s">
        <v>12</v>
      </c>
      <c r="D5">
        <v>239</v>
      </c>
      <c r="E5">
        <v>4.8</v>
      </c>
      <c r="F5">
        <v>1676</v>
      </c>
      <c r="G5">
        <v>56</v>
      </c>
      <c r="H5">
        <v>871</v>
      </c>
      <c r="I5">
        <v>20</v>
      </c>
      <c r="J5" t="str">
        <f>IF(Table2[[#This Row],[Age]]&lt;=24, "18 - 24", IF(Table2[[#This Row],[Age]]&lt;=34, "25 - 34", IF(Table2[[#This Row],[Age]]&lt;=44, "35 - 44", IF(Table2[[#This Row],[Age]]&lt;=54, "45 - 54", "55 - 59"))))</f>
        <v>18 - 24</v>
      </c>
      <c r="K5" t="str">
        <f>IF(Table2[[#This Row],[Age]]&lt;=24, "Young Adults", IF(Table2[[#This Row],[Age]]&lt;=34, "Early Career", IF(Table2[[#This Row],[Age]]&lt;=44, "Mid Career", IF(Table2[[#This Row],[Age]]&lt;=54, "Mature Adults", "Pre-retirment"))))</f>
        <v>Young Adults</v>
      </c>
      <c r="L5" t="s">
        <v>13</v>
      </c>
      <c r="M5">
        <v>3</v>
      </c>
      <c r="N5" t="str">
        <f t="shared" si="0"/>
        <v>Moderate User</v>
      </c>
    </row>
    <row r="6" spans="1:14" x14ac:dyDescent="0.25">
      <c r="A6">
        <v>5</v>
      </c>
      <c r="B6" t="s">
        <v>17</v>
      </c>
      <c r="C6" t="s">
        <v>18</v>
      </c>
      <c r="D6">
        <v>187</v>
      </c>
      <c r="E6">
        <v>4.3</v>
      </c>
      <c r="F6">
        <v>1367</v>
      </c>
      <c r="G6">
        <v>58</v>
      </c>
      <c r="H6">
        <v>988</v>
      </c>
      <c r="I6">
        <v>31</v>
      </c>
      <c r="J6" t="str">
        <f>IF(Table2[[#This Row],[Age]]&lt;=24, "18 - 24", IF(Table2[[#This Row],[Age]]&lt;=34, "25 - 34", IF(Table2[[#This Row],[Age]]&lt;=44, "35 - 44", IF(Table2[[#This Row],[Age]]&lt;=54, "45 - 54", "55 - 59"))))</f>
        <v>25 - 34</v>
      </c>
      <c r="K6" t="str">
        <f>IF(Table2[[#This Row],[Age]]&lt;=24, "Young Adults", IF(Table2[[#This Row],[Age]]&lt;=34, "Early Career", IF(Table2[[#This Row],[Age]]&lt;=44, "Mid Career", IF(Table2[[#This Row],[Age]]&lt;=54, "Mature Adults", "Pre-retirment"))))</f>
        <v>Early Career</v>
      </c>
      <c r="L6" t="s">
        <v>15</v>
      </c>
      <c r="M6">
        <v>3</v>
      </c>
      <c r="N6" t="str">
        <f t="shared" si="0"/>
        <v>Moderate User</v>
      </c>
    </row>
    <row r="7" spans="1:14" x14ac:dyDescent="0.25">
      <c r="A7">
        <v>6</v>
      </c>
      <c r="B7" t="s">
        <v>11</v>
      </c>
      <c r="C7" t="s">
        <v>12</v>
      </c>
      <c r="D7">
        <v>99</v>
      </c>
      <c r="E7">
        <v>2</v>
      </c>
      <c r="F7">
        <v>940</v>
      </c>
      <c r="G7">
        <v>35</v>
      </c>
      <c r="H7">
        <v>564</v>
      </c>
      <c r="I7">
        <v>31</v>
      </c>
      <c r="J7" t="str">
        <f>IF(Table2[[#This Row],[Age]]&lt;=24, "18 - 24", IF(Table2[[#This Row],[Age]]&lt;=34, "25 - 34", IF(Table2[[#This Row],[Age]]&lt;=44, "35 - 44", IF(Table2[[#This Row],[Age]]&lt;=54, "45 - 54", "55 - 59"))))</f>
        <v>25 - 34</v>
      </c>
      <c r="K7" t="str">
        <f>IF(Table2[[#This Row],[Age]]&lt;=24, "Young Adults", IF(Table2[[#This Row],[Age]]&lt;=34, "Early Career", IF(Table2[[#This Row],[Age]]&lt;=44, "Mid Career", IF(Table2[[#This Row],[Age]]&lt;=54, "Mature Adults", "Pre-retirment"))))</f>
        <v>Early Career</v>
      </c>
      <c r="L7" t="s">
        <v>13</v>
      </c>
      <c r="M7">
        <v>2</v>
      </c>
      <c r="N7" t="str">
        <f t="shared" si="0"/>
        <v>Light User</v>
      </c>
    </row>
    <row r="8" spans="1:14" x14ac:dyDescent="0.25">
      <c r="A8">
        <v>7</v>
      </c>
      <c r="B8" t="s">
        <v>19</v>
      </c>
      <c r="C8" t="s">
        <v>12</v>
      </c>
      <c r="D8">
        <v>350</v>
      </c>
      <c r="E8">
        <v>7.3</v>
      </c>
      <c r="F8">
        <v>1802</v>
      </c>
      <c r="G8">
        <v>66</v>
      </c>
      <c r="H8">
        <v>1054</v>
      </c>
      <c r="I8">
        <v>21</v>
      </c>
      <c r="J8" t="str">
        <f>IF(Table2[[#This Row],[Age]]&lt;=24, "18 - 24", IF(Table2[[#This Row],[Age]]&lt;=34, "25 - 34", IF(Table2[[#This Row],[Age]]&lt;=44, "35 - 44", IF(Table2[[#This Row],[Age]]&lt;=54, "45 - 54", "55 - 59"))))</f>
        <v>18 - 24</v>
      </c>
      <c r="K8" t="str">
        <f>IF(Table2[[#This Row],[Age]]&lt;=24, "Young Adults", IF(Table2[[#This Row],[Age]]&lt;=34, "Early Career", IF(Table2[[#This Row],[Age]]&lt;=44, "Mid Career", IF(Table2[[#This Row],[Age]]&lt;=54, "Mature Adults", "Pre-retirment"))))</f>
        <v>Young Adults</v>
      </c>
      <c r="L8" t="s">
        <v>15</v>
      </c>
      <c r="M8">
        <v>4</v>
      </c>
      <c r="N8" t="str">
        <f t="shared" si="0"/>
        <v>Heavy User</v>
      </c>
    </row>
    <row r="9" spans="1:14" x14ac:dyDescent="0.25">
      <c r="A9">
        <v>8</v>
      </c>
      <c r="B9" t="s">
        <v>14</v>
      </c>
      <c r="C9" t="s">
        <v>12</v>
      </c>
      <c r="D9">
        <v>543</v>
      </c>
      <c r="E9">
        <v>11.4</v>
      </c>
      <c r="F9">
        <v>2956</v>
      </c>
      <c r="G9">
        <v>82</v>
      </c>
      <c r="H9">
        <v>1702</v>
      </c>
      <c r="I9">
        <v>31</v>
      </c>
      <c r="J9" t="str">
        <f>IF(Table2[[#This Row],[Age]]&lt;=24, "18 - 24", IF(Table2[[#This Row],[Age]]&lt;=34, "25 - 34", IF(Table2[[#This Row],[Age]]&lt;=44, "35 - 44", IF(Table2[[#This Row],[Age]]&lt;=54, "45 - 54", "55 - 59"))))</f>
        <v>25 - 34</v>
      </c>
      <c r="K9" t="str">
        <f>IF(Table2[[#This Row],[Age]]&lt;=24, "Young Adults", IF(Table2[[#This Row],[Age]]&lt;=34, "Early Career", IF(Table2[[#This Row],[Age]]&lt;=44, "Mid Career", IF(Table2[[#This Row],[Age]]&lt;=54, "Mature Adults", "Pre-retirment"))))</f>
        <v>Early Career</v>
      </c>
      <c r="L9" t="s">
        <v>13</v>
      </c>
      <c r="M9">
        <v>5</v>
      </c>
      <c r="N9" t="str">
        <f t="shared" si="0"/>
        <v>Heavy User</v>
      </c>
    </row>
    <row r="10" spans="1:14" x14ac:dyDescent="0.25">
      <c r="A10">
        <v>9</v>
      </c>
      <c r="B10" t="s">
        <v>19</v>
      </c>
      <c r="C10" t="s">
        <v>12</v>
      </c>
      <c r="D10">
        <v>340</v>
      </c>
      <c r="E10">
        <v>7.7</v>
      </c>
      <c r="F10">
        <v>2138</v>
      </c>
      <c r="G10">
        <v>75</v>
      </c>
      <c r="H10">
        <v>1053</v>
      </c>
      <c r="I10">
        <v>42</v>
      </c>
      <c r="J10" t="str">
        <f>IF(Table2[[#This Row],[Age]]&lt;=24, "18 - 24", IF(Table2[[#This Row],[Age]]&lt;=34, "25 - 34", IF(Table2[[#This Row],[Age]]&lt;=44, "35 - 44", IF(Table2[[#This Row],[Age]]&lt;=54, "45 - 54", "55 - 59"))))</f>
        <v>35 - 44</v>
      </c>
      <c r="K10" t="str">
        <f>IF(Table2[[#This Row],[Age]]&lt;=24, "Young Adults", IF(Table2[[#This Row],[Age]]&lt;=34, "Early Career", IF(Table2[[#This Row],[Age]]&lt;=44, "Mid Career", IF(Table2[[#This Row],[Age]]&lt;=54, "Mature Adults", "Pre-retirment"))))</f>
        <v>Mid Career</v>
      </c>
      <c r="L10" t="s">
        <v>15</v>
      </c>
      <c r="M10">
        <v>4</v>
      </c>
      <c r="N10" t="str">
        <f t="shared" si="0"/>
        <v>Heavy User</v>
      </c>
    </row>
    <row r="11" spans="1:14" x14ac:dyDescent="0.25">
      <c r="A11">
        <v>10</v>
      </c>
      <c r="B11" t="s">
        <v>17</v>
      </c>
      <c r="C11" t="s">
        <v>18</v>
      </c>
      <c r="D11">
        <v>424</v>
      </c>
      <c r="E11">
        <v>6.6</v>
      </c>
      <c r="F11">
        <v>1957</v>
      </c>
      <c r="G11">
        <v>75</v>
      </c>
      <c r="H11">
        <v>1301</v>
      </c>
      <c r="I11">
        <v>42</v>
      </c>
      <c r="J11" t="str">
        <f>IF(Table2[[#This Row],[Age]]&lt;=24, "18 - 24", IF(Table2[[#This Row],[Age]]&lt;=34, "25 - 34", IF(Table2[[#This Row],[Age]]&lt;=44, "35 - 44", IF(Table2[[#This Row],[Age]]&lt;=54, "45 - 54", "55 - 59"))))</f>
        <v>35 - 44</v>
      </c>
      <c r="K11" t="str">
        <f>IF(Table2[[#This Row],[Age]]&lt;=24, "Young Adults", IF(Table2[[#This Row],[Age]]&lt;=34, "Early Career", IF(Table2[[#This Row],[Age]]&lt;=44, "Mid Career", IF(Table2[[#This Row],[Age]]&lt;=54, "Mature Adults", "Pre-retirment"))))</f>
        <v>Mid Career</v>
      </c>
      <c r="L11" t="s">
        <v>13</v>
      </c>
      <c r="M11">
        <v>4</v>
      </c>
      <c r="N11" t="str">
        <f t="shared" si="0"/>
        <v>Heavy User</v>
      </c>
    </row>
    <row r="12" spans="1:14" x14ac:dyDescent="0.25">
      <c r="A12">
        <v>11</v>
      </c>
      <c r="B12" t="s">
        <v>11</v>
      </c>
      <c r="C12" t="s">
        <v>12</v>
      </c>
      <c r="D12">
        <v>53</v>
      </c>
      <c r="E12">
        <v>1.4</v>
      </c>
      <c r="F12">
        <v>435</v>
      </c>
      <c r="G12">
        <v>17</v>
      </c>
      <c r="H12">
        <v>162</v>
      </c>
      <c r="I12">
        <v>34</v>
      </c>
      <c r="J12" t="str">
        <f>IF(Table2[[#This Row],[Age]]&lt;=24, "18 - 24", IF(Table2[[#This Row],[Age]]&lt;=34, "25 - 34", IF(Table2[[#This Row],[Age]]&lt;=44, "35 - 44", IF(Table2[[#This Row],[Age]]&lt;=54, "45 - 54", "55 - 59"))))</f>
        <v>25 - 34</v>
      </c>
      <c r="K12" t="str">
        <f>IF(Table2[[#This Row],[Age]]&lt;=24, "Young Adults", IF(Table2[[#This Row],[Age]]&lt;=34, "Early Career", IF(Table2[[#This Row],[Age]]&lt;=44, "Mid Career", IF(Table2[[#This Row],[Age]]&lt;=54, "Mature Adults", "Pre-retirment"))))</f>
        <v>Early Career</v>
      </c>
      <c r="L12" t="s">
        <v>15</v>
      </c>
      <c r="M12">
        <v>1</v>
      </c>
      <c r="N12" t="str">
        <f t="shared" si="0"/>
        <v>Light User</v>
      </c>
    </row>
    <row r="13" spans="1:14" x14ac:dyDescent="0.25">
      <c r="A13">
        <v>12</v>
      </c>
      <c r="B13" t="s">
        <v>14</v>
      </c>
      <c r="C13" t="s">
        <v>12</v>
      </c>
      <c r="D13">
        <v>215</v>
      </c>
      <c r="E13">
        <v>5.5</v>
      </c>
      <c r="F13">
        <v>1690</v>
      </c>
      <c r="G13">
        <v>47</v>
      </c>
      <c r="H13">
        <v>641</v>
      </c>
      <c r="I13">
        <v>24</v>
      </c>
      <c r="J13" t="str">
        <f>IF(Table2[[#This Row],[Age]]&lt;=24, "18 - 24", IF(Table2[[#This Row],[Age]]&lt;=34, "25 - 34", IF(Table2[[#This Row],[Age]]&lt;=44, "35 - 44", IF(Table2[[#This Row],[Age]]&lt;=54, "45 - 54", "55 - 59"))))</f>
        <v>18 - 24</v>
      </c>
      <c r="K13" t="str">
        <f>IF(Table2[[#This Row],[Age]]&lt;=24, "Young Adults", IF(Table2[[#This Row],[Age]]&lt;=34, "Early Career", IF(Table2[[#This Row],[Age]]&lt;=44, "Mid Career", IF(Table2[[#This Row],[Age]]&lt;=54, "Mature Adults", "Pre-retirment"))))</f>
        <v>Young Adults</v>
      </c>
      <c r="L13" t="s">
        <v>13</v>
      </c>
      <c r="M13">
        <v>3</v>
      </c>
      <c r="N13" t="str">
        <f t="shared" si="0"/>
        <v>Moderate User</v>
      </c>
    </row>
    <row r="14" spans="1:14" x14ac:dyDescent="0.25">
      <c r="A14">
        <v>13</v>
      </c>
      <c r="B14" t="s">
        <v>14</v>
      </c>
      <c r="C14" t="s">
        <v>12</v>
      </c>
      <c r="D14">
        <v>462</v>
      </c>
      <c r="E14">
        <v>6.2</v>
      </c>
      <c r="F14">
        <v>2303</v>
      </c>
      <c r="G14">
        <v>65</v>
      </c>
      <c r="H14">
        <v>1099</v>
      </c>
      <c r="I14">
        <v>57</v>
      </c>
      <c r="J14" t="str">
        <f>IF(Table2[[#This Row],[Age]]&lt;=24, "18 - 24", IF(Table2[[#This Row],[Age]]&lt;=34, "25 - 34", IF(Table2[[#This Row],[Age]]&lt;=44, "35 - 44", IF(Table2[[#This Row],[Age]]&lt;=54, "45 - 54", "55 - 59"))))</f>
        <v>55 - 59</v>
      </c>
      <c r="K14" t="str">
        <f>IF(Table2[[#This Row],[Age]]&lt;=24, "Young Adults", IF(Table2[[#This Row],[Age]]&lt;=34, "Early Career", IF(Table2[[#This Row],[Age]]&lt;=44, "Mid Career", IF(Table2[[#This Row],[Age]]&lt;=54, "Mature Adults", "Pre-retirment"))))</f>
        <v>Pre-retirment</v>
      </c>
      <c r="L14" t="s">
        <v>15</v>
      </c>
      <c r="M14">
        <v>4</v>
      </c>
      <c r="N14" t="str">
        <f t="shared" si="0"/>
        <v>Heavy User</v>
      </c>
    </row>
    <row r="15" spans="1:14" x14ac:dyDescent="0.25">
      <c r="A15">
        <v>14</v>
      </c>
      <c r="B15" t="s">
        <v>16</v>
      </c>
      <c r="C15" t="s">
        <v>12</v>
      </c>
      <c r="D15">
        <v>215</v>
      </c>
      <c r="E15">
        <v>4.9000000000000004</v>
      </c>
      <c r="F15">
        <v>1662</v>
      </c>
      <c r="G15">
        <v>43</v>
      </c>
      <c r="H15">
        <v>857</v>
      </c>
      <c r="I15">
        <v>43</v>
      </c>
      <c r="J15" t="str">
        <f>IF(Table2[[#This Row],[Age]]&lt;=24, "18 - 24", IF(Table2[[#This Row],[Age]]&lt;=34, "25 - 34", IF(Table2[[#This Row],[Age]]&lt;=44, "35 - 44", IF(Table2[[#This Row],[Age]]&lt;=54, "45 - 54", "55 - 59"))))</f>
        <v>35 - 44</v>
      </c>
      <c r="K15" t="str">
        <f>IF(Table2[[#This Row],[Age]]&lt;=24, "Young Adults", IF(Table2[[#This Row],[Age]]&lt;=34, "Early Career", IF(Table2[[#This Row],[Age]]&lt;=44, "Mid Career", IF(Table2[[#This Row],[Age]]&lt;=54, "Mature Adults", "Pre-retirment"))))</f>
        <v>Mid Career</v>
      </c>
      <c r="L15" t="s">
        <v>13</v>
      </c>
      <c r="M15">
        <v>3</v>
      </c>
      <c r="N15" t="str">
        <f t="shared" si="0"/>
        <v>Moderate User</v>
      </c>
    </row>
    <row r="16" spans="1:14" x14ac:dyDescent="0.25">
      <c r="A16">
        <v>15</v>
      </c>
      <c r="B16" t="s">
        <v>17</v>
      </c>
      <c r="C16" t="s">
        <v>18</v>
      </c>
      <c r="D16">
        <v>189</v>
      </c>
      <c r="E16">
        <v>5.4</v>
      </c>
      <c r="F16">
        <v>1754</v>
      </c>
      <c r="G16">
        <v>53</v>
      </c>
      <c r="H16">
        <v>779</v>
      </c>
      <c r="I16">
        <v>49</v>
      </c>
      <c r="J16" t="str">
        <f>IF(Table2[[#This Row],[Age]]&lt;=24, "18 - 24", IF(Table2[[#This Row],[Age]]&lt;=34, "25 - 34", IF(Table2[[#This Row],[Age]]&lt;=44, "35 - 44", IF(Table2[[#This Row],[Age]]&lt;=54, "45 - 54", "55 - 59"))))</f>
        <v>45 - 54</v>
      </c>
      <c r="K16" t="str">
        <f>IF(Table2[[#This Row],[Age]]&lt;=24, "Young Adults", IF(Table2[[#This Row],[Age]]&lt;=34, "Early Career", IF(Table2[[#This Row],[Age]]&lt;=44, "Mid Career", IF(Table2[[#This Row],[Age]]&lt;=54, "Mature Adults", "Pre-retirment"))))</f>
        <v>Mature Adults</v>
      </c>
      <c r="L16" t="s">
        <v>15</v>
      </c>
      <c r="M16">
        <v>3</v>
      </c>
      <c r="N16" t="str">
        <f t="shared" si="0"/>
        <v>Moderate User</v>
      </c>
    </row>
    <row r="17" spans="1:14" x14ac:dyDescent="0.25">
      <c r="A17">
        <v>16</v>
      </c>
      <c r="B17" t="s">
        <v>11</v>
      </c>
      <c r="C17" t="s">
        <v>12</v>
      </c>
      <c r="D17">
        <v>503</v>
      </c>
      <c r="E17">
        <v>10.4</v>
      </c>
      <c r="F17">
        <v>2571</v>
      </c>
      <c r="G17">
        <v>84</v>
      </c>
      <c r="H17">
        <v>2025</v>
      </c>
      <c r="I17">
        <v>39</v>
      </c>
      <c r="J17" t="str">
        <f>IF(Table2[[#This Row],[Age]]&lt;=24, "18 - 24", IF(Table2[[#This Row],[Age]]&lt;=34, "25 - 34", IF(Table2[[#This Row],[Age]]&lt;=44, "35 - 44", IF(Table2[[#This Row],[Age]]&lt;=54, "45 - 54", "55 - 59"))))</f>
        <v>35 - 44</v>
      </c>
      <c r="K17" t="str">
        <f>IF(Table2[[#This Row],[Age]]&lt;=24, "Young Adults", IF(Table2[[#This Row],[Age]]&lt;=34, "Early Career", IF(Table2[[#This Row],[Age]]&lt;=44, "Mid Career", IF(Table2[[#This Row],[Age]]&lt;=54, "Mature Adults", "Pre-retirment"))))</f>
        <v>Mid Career</v>
      </c>
      <c r="L17" t="s">
        <v>15</v>
      </c>
      <c r="M17">
        <v>5</v>
      </c>
      <c r="N17" t="str">
        <f t="shared" si="0"/>
        <v>Heavy User</v>
      </c>
    </row>
    <row r="18" spans="1:14" x14ac:dyDescent="0.25">
      <c r="A18">
        <v>17</v>
      </c>
      <c r="B18" t="s">
        <v>14</v>
      </c>
      <c r="C18" t="s">
        <v>12</v>
      </c>
      <c r="D18">
        <v>132</v>
      </c>
      <c r="E18">
        <v>3.6</v>
      </c>
      <c r="F18">
        <v>628</v>
      </c>
      <c r="G18">
        <v>32</v>
      </c>
      <c r="H18">
        <v>344</v>
      </c>
      <c r="I18">
        <v>47</v>
      </c>
      <c r="J18" t="str">
        <f>IF(Table2[[#This Row],[Age]]&lt;=24, "18 - 24", IF(Table2[[#This Row],[Age]]&lt;=34, "25 - 34", IF(Table2[[#This Row],[Age]]&lt;=44, "35 - 44", IF(Table2[[#This Row],[Age]]&lt;=54, "45 - 54", "55 - 59"))))</f>
        <v>45 - 54</v>
      </c>
      <c r="K18" t="str">
        <f>IF(Table2[[#This Row],[Age]]&lt;=24, "Young Adults", IF(Table2[[#This Row],[Age]]&lt;=34, "Early Career", IF(Table2[[#This Row],[Age]]&lt;=44, "Mid Career", IF(Table2[[#This Row],[Age]]&lt;=54, "Mature Adults", "Pre-retirment"))))</f>
        <v>Mature Adults</v>
      </c>
      <c r="L18" t="s">
        <v>15</v>
      </c>
      <c r="M18">
        <v>2</v>
      </c>
      <c r="N18" t="str">
        <f t="shared" si="0"/>
        <v>Light User</v>
      </c>
    </row>
    <row r="19" spans="1:14" x14ac:dyDescent="0.25">
      <c r="A19">
        <v>18</v>
      </c>
      <c r="B19" t="s">
        <v>17</v>
      </c>
      <c r="C19" t="s">
        <v>18</v>
      </c>
      <c r="D19">
        <v>299</v>
      </c>
      <c r="E19">
        <v>5.8</v>
      </c>
      <c r="F19">
        <v>1431</v>
      </c>
      <c r="G19">
        <v>41</v>
      </c>
      <c r="H19">
        <v>985</v>
      </c>
      <c r="I19">
        <v>44</v>
      </c>
      <c r="J19" t="str">
        <f>IF(Table2[[#This Row],[Age]]&lt;=24, "18 - 24", IF(Table2[[#This Row],[Age]]&lt;=34, "25 - 34", IF(Table2[[#This Row],[Age]]&lt;=44, "35 - 44", IF(Table2[[#This Row],[Age]]&lt;=54, "45 - 54", "55 - 59"))))</f>
        <v>35 - 44</v>
      </c>
      <c r="K19" t="str">
        <f>IF(Table2[[#This Row],[Age]]&lt;=24, "Young Adults", IF(Table2[[#This Row],[Age]]&lt;=34, "Early Career", IF(Table2[[#This Row],[Age]]&lt;=44, "Mid Career", IF(Table2[[#This Row],[Age]]&lt;=54, "Mature Adults", "Pre-retirment"))))</f>
        <v>Mid Career</v>
      </c>
      <c r="L19" t="s">
        <v>15</v>
      </c>
      <c r="M19">
        <v>3</v>
      </c>
      <c r="N19" t="str">
        <f t="shared" si="0"/>
        <v>Moderate User</v>
      </c>
    </row>
    <row r="20" spans="1:14" x14ac:dyDescent="0.25">
      <c r="A20">
        <v>19</v>
      </c>
      <c r="B20" t="s">
        <v>11</v>
      </c>
      <c r="C20" t="s">
        <v>12</v>
      </c>
      <c r="D20">
        <v>81</v>
      </c>
      <c r="E20">
        <v>1.4</v>
      </c>
      <c r="F20">
        <v>558</v>
      </c>
      <c r="G20">
        <v>16</v>
      </c>
      <c r="H20">
        <v>297</v>
      </c>
      <c r="I20">
        <v>26</v>
      </c>
      <c r="J20" t="str">
        <f>IF(Table2[[#This Row],[Age]]&lt;=24, "18 - 24", IF(Table2[[#This Row],[Age]]&lt;=34, "25 - 34", IF(Table2[[#This Row],[Age]]&lt;=44, "35 - 44", IF(Table2[[#This Row],[Age]]&lt;=54, "45 - 54", "55 - 59"))))</f>
        <v>25 - 34</v>
      </c>
      <c r="K20" t="str">
        <f>IF(Table2[[#This Row],[Age]]&lt;=24, "Young Adults", IF(Table2[[#This Row],[Age]]&lt;=34, "Early Career", IF(Table2[[#This Row],[Age]]&lt;=44, "Mid Career", IF(Table2[[#This Row],[Age]]&lt;=54, "Mature Adults", "Pre-retirment"))))</f>
        <v>Early Career</v>
      </c>
      <c r="L20" t="s">
        <v>15</v>
      </c>
      <c r="M20">
        <v>1</v>
      </c>
      <c r="N20" t="str">
        <f t="shared" si="0"/>
        <v>Light User</v>
      </c>
    </row>
    <row r="21" spans="1:14" x14ac:dyDescent="0.25">
      <c r="A21">
        <v>20</v>
      </c>
      <c r="B21" t="s">
        <v>17</v>
      </c>
      <c r="C21" t="s">
        <v>18</v>
      </c>
      <c r="D21">
        <v>577</v>
      </c>
      <c r="E21">
        <v>8.5</v>
      </c>
      <c r="F21">
        <v>2774</v>
      </c>
      <c r="G21">
        <v>89</v>
      </c>
      <c r="H21">
        <v>2192</v>
      </c>
      <c r="I21">
        <v>29</v>
      </c>
      <c r="J21" t="str">
        <f>IF(Table2[[#This Row],[Age]]&lt;=24, "18 - 24", IF(Table2[[#This Row],[Age]]&lt;=34, "25 - 34", IF(Table2[[#This Row],[Age]]&lt;=44, "35 - 44", IF(Table2[[#This Row],[Age]]&lt;=54, "45 - 54", "55 - 59"))))</f>
        <v>25 - 34</v>
      </c>
      <c r="K21" t="str">
        <f>IF(Table2[[#This Row],[Age]]&lt;=24, "Young Adults", IF(Table2[[#This Row],[Age]]&lt;=34, "Early Career", IF(Table2[[#This Row],[Age]]&lt;=44, "Mid Career", IF(Table2[[#This Row],[Age]]&lt;=54, "Mature Adults", "Pre-retirment"))))</f>
        <v>Early Career</v>
      </c>
      <c r="L21" t="s">
        <v>15</v>
      </c>
      <c r="M21">
        <v>5</v>
      </c>
      <c r="N21" t="str">
        <f t="shared" si="0"/>
        <v>Heavy User</v>
      </c>
    </row>
    <row r="22" spans="1:14" x14ac:dyDescent="0.25">
      <c r="A22">
        <v>21</v>
      </c>
      <c r="B22" t="s">
        <v>19</v>
      </c>
      <c r="C22" t="s">
        <v>12</v>
      </c>
      <c r="D22">
        <v>93</v>
      </c>
      <c r="E22">
        <v>2.6</v>
      </c>
      <c r="F22">
        <v>681</v>
      </c>
      <c r="G22">
        <v>37</v>
      </c>
      <c r="H22">
        <v>302</v>
      </c>
      <c r="I22">
        <v>45</v>
      </c>
      <c r="J22" t="str">
        <f>IF(Table2[[#This Row],[Age]]&lt;=24, "18 - 24", IF(Table2[[#This Row],[Age]]&lt;=34, "25 - 34", IF(Table2[[#This Row],[Age]]&lt;=44, "35 - 44", IF(Table2[[#This Row],[Age]]&lt;=54, "45 - 54", "55 - 59"))))</f>
        <v>45 - 54</v>
      </c>
      <c r="K22" t="str">
        <f>IF(Table2[[#This Row],[Age]]&lt;=24, "Young Adults", IF(Table2[[#This Row],[Age]]&lt;=34, "Early Career", IF(Table2[[#This Row],[Age]]&lt;=44, "Mid Career", IF(Table2[[#This Row],[Age]]&lt;=54, "Mature Adults", "Pre-retirment"))))</f>
        <v>Mature Adults</v>
      </c>
      <c r="L22" t="s">
        <v>15</v>
      </c>
      <c r="M22">
        <v>2</v>
      </c>
      <c r="N22" t="str">
        <f t="shared" si="0"/>
        <v>Light User</v>
      </c>
    </row>
    <row r="23" spans="1:14" x14ac:dyDescent="0.25">
      <c r="A23">
        <v>22</v>
      </c>
      <c r="B23" t="s">
        <v>14</v>
      </c>
      <c r="C23" t="s">
        <v>12</v>
      </c>
      <c r="D23">
        <v>576</v>
      </c>
      <c r="E23">
        <v>11.6</v>
      </c>
      <c r="F23">
        <v>2803</v>
      </c>
      <c r="G23">
        <v>82</v>
      </c>
      <c r="H23">
        <v>1553</v>
      </c>
      <c r="I23">
        <v>43</v>
      </c>
      <c r="J23" t="str">
        <f>IF(Table2[[#This Row],[Age]]&lt;=24, "18 - 24", IF(Table2[[#This Row],[Age]]&lt;=34, "25 - 34", IF(Table2[[#This Row],[Age]]&lt;=44, "35 - 44", IF(Table2[[#This Row],[Age]]&lt;=54, "45 - 54", "55 - 59"))))</f>
        <v>35 - 44</v>
      </c>
      <c r="K23" t="str">
        <f>IF(Table2[[#This Row],[Age]]&lt;=24, "Young Adults", IF(Table2[[#This Row],[Age]]&lt;=34, "Early Career", IF(Table2[[#This Row],[Age]]&lt;=44, "Mid Career", IF(Table2[[#This Row],[Age]]&lt;=54, "Mature Adults", "Pre-retirment"))))</f>
        <v>Mid Career</v>
      </c>
      <c r="L23" t="s">
        <v>15</v>
      </c>
      <c r="M23">
        <v>5</v>
      </c>
      <c r="N23" t="str">
        <f t="shared" si="0"/>
        <v>Heavy User</v>
      </c>
    </row>
    <row r="24" spans="1:14" x14ac:dyDescent="0.25">
      <c r="A24">
        <v>23</v>
      </c>
      <c r="B24" t="s">
        <v>19</v>
      </c>
      <c r="C24" t="s">
        <v>12</v>
      </c>
      <c r="D24">
        <v>423</v>
      </c>
      <c r="E24">
        <v>6.5</v>
      </c>
      <c r="F24">
        <v>2094</v>
      </c>
      <c r="G24">
        <v>65</v>
      </c>
      <c r="H24">
        <v>1372</v>
      </c>
      <c r="I24">
        <v>23</v>
      </c>
      <c r="J24" t="str">
        <f>IF(Table2[[#This Row],[Age]]&lt;=24, "18 - 24", IF(Table2[[#This Row],[Age]]&lt;=34, "25 - 34", IF(Table2[[#This Row],[Age]]&lt;=44, "35 - 44", IF(Table2[[#This Row],[Age]]&lt;=54, "45 - 54", "55 - 59"))))</f>
        <v>18 - 24</v>
      </c>
      <c r="K24" t="str">
        <f>IF(Table2[[#This Row],[Age]]&lt;=24, "Young Adults", IF(Table2[[#This Row],[Age]]&lt;=34, "Early Career", IF(Table2[[#This Row],[Age]]&lt;=44, "Mid Career", IF(Table2[[#This Row],[Age]]&lt;=54, "Mature Adults", "Pre-retirment"))))</f>
        <v>Young Adults</v>
      </c>
      <c r="L24" t="s">
        <v>15</v>
      </c>
      <c r="M24">
        <v>4</v>
      </c>
      <c r="N24" t="str">
        <f t="shared" si="0"/>
        <v>Heavy User</v>
      </c>
    </row>
    <row r="25" spans="1:14" x14ac:dyDescent="0.25">
      <c r="A25">
        <v>24</v>
      </c>
      <c r="B25" t="s">
        <v>11</v>
      </c>
      <c r="C25" t="s">
        <v>12</v>
      </c>
      <c r="D25">
        <v>292</v>
      </c>
      <c r="E25">
        <v>5.6</v>
      </c>
      <c r="F25">
        <v>1401</v>
      </c>
      <c r="G25">
        <v>46</v>
      </c>
      <c r="H25">
        <v>949</v>
      </c>
      <c r="I25">
        <v>37</v>
      </c>
      <c r="J25" t="str">
        <f>IF(Table2[[#This Row],[Age]]&lt;=24, "18 - 24", IF(Table2[[#This Row],[Age]]&lt;=34, "25 - 34", IF(Table2[[#This Row],[Age]]&lt;=44, "35 - 44", IF(Table2[[#This Row],[Age]]&lt;=54, "45 - 54", "55 - 59"))))</f>
        <v>35 - 44</v>
      </c>
      <c r="K25" t="str">
        <f>IF(Table2[[#This Row],[Age]]&lt;=24, "Young Adults", IF(Table2[[#This Row],[Age]]&lt;=34, "Early Career", IF(Table2[[#This Row],[Age]]&lt;=44, "Mid Career", IF(Table2[[#This Row],[Age]]&lt;=54, "Mature Adults", "Pre-retirment"))))</f>
        <v>Mid Career</v>
      </c>
      <c r="L25" t="s">
        <v>15</v>
      </c>
      <c r="M25">
        <v>3</v>
      </c>
      <c r="N25" t="str">
        <f t="shared" si="0"/>
        <v>Moderate User</v>
      </c>
    </row>
    <row r="26" spans="1:14" x14ac:dyDescent="0.25">
      <c r="A26">
        <v>25</v>
      </c>
      <c r="B26" t="s">
        <v>14</v>
      </c>
      <c r="C26" t="s">
        <v>12</v>
      </c>
      <c r="D26">
        <v>216</v>
      </c>
      <c r="E26">
        <v>4</v>
      </c>
      <c r="F26">
        <v>1711</v>
      </c>
      <c r="G26">
        <v>59</v>
      </c>
      <c r="H26">
        <v>748</v>
      </c>
      <c r="I26">
        <v>58</v>
      </c>
      <c r="J26" t="str">
        <f>IF(Table2[[#This Row],[Age]]&lt;=24, "18 - 24", IF(Table2[[#This Row],[Age]]&lt;=34, "25 - 34", IF(Table2[[#This Row],[Age]]&lt;=44, "35 - 44", IF(Table2[[#This Row],[Age]]&lt;=54, "45 - 54", "55 - 59"))))</f>
        <v>55 - 59</v>
      </c>
      <c r="K26" t="str">
        <f>IF(Table2[[#This Row],[Age]]&lt;=24, "Young Adults", IF(Table2[[#This Row],[Age]]&lt;=34, "Early Career", IF(Table2[[#This Row],[Age]]&lt;=44, "Mid Career", IF(Table2[[#This Row],[Age]]&lt;=54, "Mature Adults", "Pre-retirment"))))</f>
        <v>Pre-retirment</v>
      </c>
      <c r="L26" t="s">
        <v>13</v>
      </c>
      <c r="M26">
        <v>3</v>
      </c>
      <c r="N26" t="str">
        <f t="shared" si="0"/>
        <v>Moderate User</v>
      </c>
    </row>
    <row r="27" spans="1:14" x14ac:dyDescent="0.25">
      <c r="A27">
        <v>26</v>
      </c>
      <c r="B27" t="s">
        <v>19</v>
      </c>
      <c r="C27" t="s">
        <v>12</v>
      </c>
      <c r="D27">
        <v>91</v>
      </c>
      <c r="E27">
        <v>3.4</v>
      </c>
      <c r="F27">
        <v>1073</v>
      </c>
      <c r="G27">
        <v>38</v>
      </c>
      <c r="H27">
        <v>451</v>
      </c>
      <c r="I27">
        <v>52</v>
      </c>
      <c r="J27" t="str">
        <f>IF(Table2[[#This Row],[Age]]&lt;=24, "18 - 24", IF(Table2[[#This Row],[Age]]&lt;=34, "25 - 34", IF(Table2[[#This Row],[Age]]&lt;=44, "35 - 44", IF(Table2[[#This Row],[Age]]&lt;=54, "45 - 54", "55 - 59"))))</f>
        <v>45 - 54</v>
      </c>
      <c r="K27" t="str">
        <f>IF(Table2[[#This Row],[Age]]&lt;=24, "Young Adults", IF(Table2[[#This Row],[Age]]&lt;=34, "Early Career", IF(Table2[[#This Row],[Age]]&lt;=44, "Mid Career", IF(Table2[[#This Row],[Age]]&lt;=54, "Mature Adults", "Pre-retirment"))))</f>
        <v>Mature Adults</v>
      </c>
      <c r="L27" t="s">
        <v>13</v>
      </c>
      <c r="M27">
        <v>2</v>
      </c>
      <c r="N27" t="str">
        <f t="shared" si="0"/>
        <v>Light User</v>
      </c>
    </row>
    <row r="28" spans="1:14" x14ac:dyDescent="0.25">
      <c r="A28">
        <v>27</v>
      </c>
      <c r="B28" t="s">
        <v>17</v>
      </c>
      <c r="C28" t="s">
        <v>18</v>
      </c>
      <c r="D28">
        <v>444</v>
      </c>
      <c r="E28">
        <v>7.6</v>
      </c>
      <c r="F28">
        <v>2372</v>
      </c>
      <c r="G28">
        <v>77</v>
      </c>
      <c r="H28">
        <v>1002</v>
      </c>
      <c r="I28">
        <v>29</v>
      </c>
      <c r="J28" t="str">
        <f>IF(Table2[[#This Row],[Age]]&lt;=24, "18 - 24", IF(Table2[[#This Row],[Age]]&lt;=34, "25 - 34", IF(Table2[[#This Row],[Age]]&lt;=44, "35 - 44", IF(Table2[[#This Row],[Age]]&lt;=54, "45 - 54", "55 - 59"))))</f>
        <v>25 - 34</v>
      </c>
      <c r="K28" t="str">
        <f>IF(Table2[[#This Row],[Age]]&lt;=24, "Young Adults", IF(Table2[[#This Row],[Age]]&lt;=34, "Early Career", IF(Table2[[#This Row],[Age]]&lt;=44, "Mid Career", IF(Table2[[#This Row],[Age]]&lt;=54, "Mature Adults", "Pre-retirment"))))</f>
        <v>Early Career</v>
      </c>
      <c r="L28" t="s">
        <v>13</v>
      </c>
      <c r="M28">
        <v>4</v>
      </c>
      <c r="N28" t="str">
        <f t="shared" si="0"/>
        <v>Heavy User</v>
      </c>
    </row>
    <row r="29" spans="1:14" x14ac:dyDescent="0.25">
      <c r="A29">
        <v>28</v>
      </c>
      <c r="B29" t="s">
        <v>11</v>
      </c>
      <c r="C29" t="s">
        <v>12</v>
      </c>
      <c r="D29">
        <v>512</v>
      </c>
      <c r="E29">
        <v>10.5</v>
      </c>
      <c r="F29">
        <v>2409</v>
      </c>
      <c r="G29">
        <v>89</v>
      </c>
      <c r="H29">
        <v>1599</v>
      </c>
      <c r="I29">
        <v>33</v>
      </c>
      <c r="J29" t="str">
        <f>IF(Table2[[#This Row],[Age]]&lt;=24, "18 - 24", IF(Table2[[#This Row],[Age]]&lt;=34, "25 - 34", IF(Table2[[#This Row],[Age]]&lt;=44, "35 - 44", IF(Table2[[#This Row],[Age]]&lt;=54, "45 - 54", "55 - 59"))))</f>
        <v>25 - 34</v>
      </c>
      <c r="K29" t="str">
        <f>IF(Table2[[#This Row],[Age]]&lt;=24, "Young Adults", IF(Table2[[#This Row],[Age]]&lt;=34, "Early Career", IF(Table2[[#This Row],[Age]]&lt;=44, "Mid Career", IF(Table2[[#This Row],[Age]]&lt;=54, "Mature Adults", "Pre-retirment"))))</f>
        <v>Early Career</v>
      </c>
      <c r="L29" t="s">
        <v>13</v>
      </c>
      <c r="M29">
        <v>5</v>
      </c>
      <c r="N29" t="str">
        <f t="shared" si="0"/>
        <v>Heavy User</v>
      </c>
    </row>
    <row r="30" spans="1:14" x14ac:dyDescent="0.25">
      <c r="A30">
        <v>29</v>
      </c>
      <c r="B30" t="s">
        <v>14</v>
      </c>
      <c r="C30" t="s">
        <v>12</v>
      </c>
      <c r="D30">
        <v>452</v>
      </c>
      <c r="E30">
        <v>6.8</v>
      </c>
      <c r="F30">
        <v>2387</v>
      </c>
      <c r="G30">
        <v>77</v>
      </c>
      <c r="H30">
        <v>1456</v>
      </c>
      <c r="I30">
        <v>55</v>
      </c>
      <c r="J30" t="str">
        <f>IF(Table2[[#This Row],[Age]]&lt;=24, "18 - 24", IF(Table2[[#This Row],[Age]]&lt;=34, "25 - 34", IF(Table2[[#This Row],[Age]]&lt;=44, "35 - 44", IF(Table2[[#This Row],[Age]]&lt;=54, "45 - 54", "55 - 59"))))</f>
        <v>55 - 59</v>
      </c>
      <c r="K30" t="str">
        <f>IF(Table2[[#This Row],[Age]]&lt;=24, "Young Adults", IF(Table2[[#This Row],[Age]]&lt;=34, "Early Career", IF(Table2[[#This Row],[Age]]&lt;=44, "Mid Career", IF(Table2[[#This Row],[Age]]&lt;=54, "Mature Adults", "Pre-retirment"))))</f>
        <v>Pre-retirment</v>
      </c>
      <c r="L30" t="s">
        <v>15</v>
      </c>
      <c r="M30">
        <v>4</v>
      </c>
      <c r="N30" t="str">
        <f t="shared" si="0"/>
        <v>Heavy User</v>
      </c>
    </row>
    <row r="31" spans="1:14" x14ac:dyDescent="0.25">
      <c r="A31">
        <v>30</v>
      </c>
      <c r="B31" t="s">
        <v>19</v>
      </c>
      <c r="C31" t="s">
        <v>12</v>
      </c>
      <c r="D31">
        <v>412</v>
      </c>
      <c r="E31">
        <v>6.2</v>
      </c>
      <c r="F31">
        <v>1899</v>
      </c>
      <c r="G31">
        <v>78</v>
      </c>
      <c r="H31">
        <v>1384</v>
      </c>
      <c r="I31">
        <v>19</v>
      </c>
      <c r="J31" t="str">
        <f>IF(Table2[[#This Row],[Age]]&lt;=24, "18 - 24", IF(Table2[[#This Row],[Age]]&lt;=34, "25 - 34", IF(Table2[[#This Row],[Age]]&lt;=44, "35 - 44", IF(Table2[[#This Row],[Age]]&lt;=54, "45 - 54", "55 - 59"))))</f>
        <v>18 - 24</v>
      </c>
      <c r="K31" t="str">
        <f>IF(Table2[[#This Row],[Age]]&lt;=24, "Young Adults", IF(Table2[[#This Row],[Age]]&lt;=34, "Early Career", IF(Table2[[#This Row],[Age]]&lt;=44, "Mid Career", IF(Table2[[#This Row],[Age]]&lt;=54, "Mature Adults", "Pre-retirment"))))</f>
        <v>Young Adults</v>
      </c>
      <c r="L31" t="s">
        <v>15</v>
      </c>
      <c r="M31">
        <v>4</v>
      </c>
      <c r="N31" t="str">
        <f t="shared" si="0"/>
        <v>Heavy User</v>
      </c>
    </row>
    <row r="32" spans="1:14" x14ac:dyDescent="0.25">
      <c r="A32">
        <v>31</v>
      </c>
      <c r="B32" t="s">
        <v>16</v>
      </c>
      <c r="C32" t="s">
        <v>12</v>
      </c>
      <c r="D32">
        <v>260</v>
      </c>
      <c r="E32">
        <v>6</v>
      </c>
      <c r="F32">
        <v>1361</v>
      </c>
      <c r="G32">
        <v>44</v>
      </c>
      <c r="H32">
        <v>889</v>
      </c>
      <c r="I32">
        <v>37</v>
      </c>
      <c r="J32" t="str">
        <f>IF(Table2[[#This Row],[Age]]&lt;=24, "18 - 24", IF(Table2[[#This Row],[Age]]&lt;=34, "25 - 34", IF(Table2[[#This Row],[Age]]&lt;=44, "35 - 44", IF(Table2[[#This Row],[Age]]&lt;=54, "45 - 54", "55 - 59"))))</f>
        <v>35 - 44</v>
      </c>
      <c r="K32" t="str">
        <f>IF(Table2[[#This Row],[Age]]&lt;=24, "Young Adults", IF(Table2[[#This Row],[Age]]&lt;=34, "Early Career", IF(Table2[[#This Row],[Age]]&lt;=44, "Mid Career", IF(Table2[[#This Row],[Age]]&lt;=54, "Mature Adults", "Pre-retirment"))))</f>
        <v>Mid Career</v>
      </c>
      <c r="L32" t="s">
        <v>15</v>
      </c>
      <c r="M32">
        <v>3</v>
      </c>
      <c r="N32" t="str">
        <f t="shared" si="0"/>
        <v>Moderate User</v>
      </c>
    </row>
    <row r="33" spans="1:14" x14ac:dyDescent="0.25">
      <c r="A33">
        <v>32</v>
      </c>
      <c r="B33" t="s">
        <v>16</v>
      </c>
      <c r="C33" t="s">
        <v>12</v>
      </c>
      <c r="D33">
        <v>197</v>
      </c>
      <c r="E33">
        <v>4.5999999999999996</v>
      </c>
      <c r="F33">
        <v>1660</v>
      </c>
      <c r="G33">
        <v>59</v>
      </c>
      <c r="H33">
        <v>975</v>
      </c>
      <c r="I33">
        <v>25</v>
      </c>
      <c r="J33" t="str">
        <f>IF(Table2[[#This Row],[Age]]&lt;=24, "18 - 24", IF(Table2[[#This Row],[Age]]&lt;=34, "25 - 34", IF(Table2[[#This Row],[Age]]&lt;=44, "35 - 44", IF(Table2[[#This Row],[Age]]&lt;=54, "45 - 54", "55 - 59"))))</f>
        <v>25 - 34</v>
      </c>
      <c r="K33" t="str">
        <f>IF(Table2[[#This Row],[Age]]&lt;=24, "Young Adults", IF(Table2[[#This Row],[Age]]&lt;=34, "Early Career", IF(Table2[[#This Row],[Age]]&lt;=44, "Mid Career", IF(Table2[[#This Row],[Age]]&lt;=54, "Mature Adults", "Pre-retirment"))))</f>
        <v>Early Career</v>
      </c>
      <c r="L33" t="s">
        <v>13</v>
      </c>
      <c r="M33">
        <v>3</v>
      </c>
      <c r="N33" t="str">
        <f t="shared" si="0"/>
        <v>Moderate User</v>
      </c>
    </row>
    <row r="34" spans="1:14" x14ac:dyDescent="0.25">
      <c r="A34">
        <v>33</v>
      </c>
      <c r="B34" t="s">
        <v>11</v>
      </c>
      <c r="C34" t="s">
        <v>12</v>
      </c>
      <c r="D34">
        <v>278</v>
      </c>
      <c r="E34">
        <v>4.7</v>
      </c>
      <c r="F34">
        <v>1484</v>
      </c>
      <c r="G34">
        <v>55</v>
      </c>
      <c r="H34">
        <v>917</v>
      </c>
      <c r="I34">
        <v>21</v>
      </c>
      <c r="J34" t="str">
        <f>IF(Table2[[#This Row],[Age]]&lt;=24, "18 - 24", IF(Table2[[#This Row],[Age]]&lt;=34, "25 - 34", IF(Table2[[#This Row],[Age]]&lt;=44, "35 - 44", IF(Table2[[#This Row],[Age]]&lt;=54, "45 - 54", "55 - 59"))))</f>
        <v>18 - 24</v>
      </c>
      <c r="K34" t="str">
        <f>IF(Table2[[#This Row],[Age]]&lt;=24, "Young Adults", IF(Table2[[#This Row],[Age]]&lt;=34, "Early Career", IF(Table2[[#This Row],[Age]]&lt;=44, "Mid Career", IF(Table2[[#This Row],[Age]]&lt;=54, "Mature Adults", "Pre-retirment"))))</f>
        <v>Young Adults</v>
      </c>
      <c r="L34" t="s">
        <v>13</v>
      </c>
      <c r="M34">
        <v>3</v>
      </c>
      <c r="N34" t="str">
        <f t="shared" si="0"/>
        <v>Moderate User</v>
      </c>
    </row>
    <row r="35" spans="1:14" x14ac:dyDescent="0.25">
      <c r="A35">
        <v>34</v>
      </c>
      <c r="B35" t="s">
        <v>11</v>
      </c>
      <c r="C35" t="s">
        <v>12</v>
      </c>
      <c r="D35">
        <v>46</v>
      </c>
      <c r="E35">
        <v>2</v>
      </c>
      <c r="F35">
        <v>457</v>
      </c>
      <c r="G35">
        <v>14</v>
      </c>
      <c r="H35">
        <v>105</v>
      </c>
      <c r="I35">
        <v>58</v>
      </c>
      <c r="J35" t="str">
        <f>IF(Table2[[#This Row],[Age]]&lt;=24, "18 - 24", IF(Table2[[#This Row],[Age]]&lt;=34, "25 - 34", IF(Table2[[#This Row],[Age]]&lt;=44, "35 - 44", IF(Table2[[#This Row],[Age]]&lt;=54, "45 - 54", "55 - 59"))))</f>
        <v>55 - 59</v>
      </c>
      <c r="K35" t="str">
        <f>IF(Table2[[#This Row],[Age]]&lt;=24, "Young Adults", IF(Table2[[#This Row],[Age]]&lt;=34, "Early Career", IF(Table2[[#This Row],[Age]]&lt;=44, "Mid Career", IF(Table2[[#This Row],[Age]]&lt;=54, "Mature Adults", "Pre-retirment"))))</f>
        <v>Pre-retirment</v>
      </c>
      <c r="L35" t="s">
        <v>13</v>
      </c>
      <c r="M35">
        <v>1</v>
      </c>
      <c r="N35" t="str">
        <f t="shared" si="0"/>
        <v>Light User</v>
      </c>
    </row>
    <row r="36" spans="1:14" x14ac:dyDescent="0.25">
      <c r="A36">
        <v>35</v>
      </c>
      <c r="B36" t="s">
        <v>16</v>
      </c>
      <c r="C36" t="s">
        <v>12</v>
      </c>
      <c r="D36">
        <v>593</v>
      </c>
      <c r="E36">
        <v>10.199999999999999</v>
      </c>
      <c r="F36">
        <v>2499</v>
      </c>
      <c r="G36">
        <v>81</v>
      </c>
      <c r="H36">
        <v>1616</v>
      </c>
      <c r="I36">
        <v>38</v>
      </c>
      <c r="J36" t="str">
        <f>IF(Table2[[#This Row],[Age]]&lt;=24, "18 - 24", IF(Table2[[#This Row],[Age]]&lt;=34, "25 - 34", IF(Table2[[#This Row],[Age]]&lt;=44, "35 - 44", IF(Table2[[#This Row],[Age]]&lt;=54, "45 - 54", "55 - 59"))))</f>
        <v>35 - 44</v>
      </c>
      <c r="K36" t="str">
        <f>IF(Table2[[#This Row],[Age]]&lt;=24, "Young Adults", IF(Table2[[#This Row],[Age]]&lt;=34, "Early Career", IF(Table2[[#This Row],[Age]]&lt;=44, "Mid Career", IF(Table2[[#This Row],[Age]]&lt;=54, "Mature Adults", "Pre-retirment"))))</f>
        <v>Mid Career</v>
      </c>
      <c r="L36" t="s">
        <v>15</v>
      </c>
      <c r="M36">
        <v>5</v>
      </c>
      <c r="N36" t="str">
        <f t="shared" si="0"/>
        <v>Heavy User</v>
      </c>
    </row>
    <row r="37" spans="1:14" x14ac:dyDescent="0.25">
      <c r="A37">
        <v>36</v>
      </c>
      <c r="B37" t="s">
        <v>19</v>
      </c>
      <c r="C37" t="s">
        <v>12</v>
      </c>
      <c r="D37">
        <v>32</v>
      </c>
      <c r="E37">
        <v>1.2</v>
      </c>
      <c r="F37">
        <v>580</v>
      </c>
      <c r="G37">
        <v>19</v>
      </c>
      <c r="H37">
        <v>153</v>
      </c>
      <c r="I37">
        <v>20</v>
      </c>
      <c r="J37" t="str">
        <f>IF(Table2[[#This Row],[Age]]&lt;=24, "18 - 24", IF(Table2[[#This Row],[Age]]&lt;=34, "25 - 34", IF(Table2[[#This Row],[Age]]&lt;=44, "35 - 44", IF(Table2[[#This Row],[Age]]&lt;=54, "45 - 54", "55 - 59"))))</f>
        <v>18 - 24</v>
      </c>
      <c r="K37" t="str">
        <f>IF(Table2[[#This Row],[Age]]&lt;=24, "Young Adults", IF(Table2[[#This Row],[Age]]&lt;=34, "Early Career", IF(Table2[[#This Row],[Age]]&lt;=44, "Mid Career", IF(Table2[[#This Row],[Age]]&lt;=54, "Mature Adults", "Pre-retirment"))))</f>
        <v>Young Adults</v>
      </c>
      <c r="L37" t="s">
        <v>15</v>
      </c>
      <c r="M37">
        <v>1</v>
      </c>
      <c r="N37" t="str">
        <f t="shared" si="0"/>
        <v>Light User</v>
      </c>
    </row>
    <row r="38" spans="1:14" x14ac:dyDescent="0.25">
      <c r="A38">
        <v>37</v>
      </c>
      <c r="B38" t="s">
        <v>17</v>
      </c>
      <c r="C38" t="s">
        <v>18</v>
      </c>
      <c r="D38">
        <v>122</v>
      </c>
      <c r="E38">
        <v>3.3</v>
      </c>
      <c r="F38">
        <v>755</v>
      </c>
      <c r="G38">
        <v>30</v>
      </c>
      <c r="H38">
        <v>573</v>
      </c>
      <c r="I38">
        <v>26</v>
      </c>
      <c r="J38" t="str">
        <f>IF(Table2[[#This Row],[Age]]&lt;=24, "18 - 24", IF(Table2[[#This Row],[Age]]&lt;=34, "25 - 34", IF(Table2[[#This Row],[Age]]&lt;=44, "35 - 44", IF(Table2[[#This Row],[Age]]&lt;=54, "45 - 54", "55 - 59"))))</f>
        <v>25 - 34</v>
      </c>
      <c r="K38" t="str">
        <f>IF(Table2[[#This Row],[Age]]&lt;=24, "Young Adults", IF(Table2[[#This Row],[Age]]&lt;=34, "Early Career", IF(Table2[[#This Row],[Age]]&lt;=44, "Mid Career", IF(Table2[[#This Row],[Age]]&lt;=54, "Mature Adults", "Pre-retirment"))))</f>
        <v>Early Career</v>
      </c>
      <c r="L38" t="s">
        <v>13</v>
      </c>
      <c r="M38">
        <v>2</v>
      </c>
      <c r="N38" t="str">
        <f t="shared" si="0"/>
        <v>Light User</v>
      </c>
    </row>
    <row r="39" spans="1:14" x14ac:dyDescent="0.25">
      <c r="A39">
        <v>38</v>
      </c>
      <c r="B39" t="s">
        <v>19</v>
      </c>
      <c r="C39" t="s">
        <v>12</v>
      </c>
      <c r="D39">
        <v>522</v>
      </c>
      <c r="E39">
        <v>11.2</v>
      </c>
      <c r="F39">
        <v>2808</v>
      </c>
      <c r="G39">
        <v>93</v>
      </c>
      <c r="H39">
        <v>2328</v>
      </c>
      <c r="I39">
        <v>24</v>
      </c>
      <c r="J39" t="str">
        <f>IF(Table2[[#This Row],[Age]]&lt;=24, "18 - 24", IF(Table2[[#This Row],[Age]]&lt;=34, "25 - 34", IF(Table2[[#This Row],[Age]]&lt;=44, "35 - 44", IF(Table2[[#This Row],[Age]]&lt;=54, "45 - 54", "55 - 59"))))</f>
        <v>18 - 24</v>
      </c>
      <c r="K39" t="str">
        <f>IF(Table2[[#This Row],[Age]]&lt;=24, "Young Adults", IF(Table2[[#This Row],[Age]]&lt;=34, "Early Career", IF(Table2[[#This Row],[Age]]&lt;=44, "Mid Career", IF(Table2[[#This Row],[Age]]&lt;=54, "Mature Adults", "Pre-retirment"))))</f>
        <v>Young Adults</v>
      </c>
      <c r="L39" t="s">
        <v>13</v>
      </c>
      <c r="M39">
        <v>5</v>
      </c>
      <c r="N39" t="str">
        <f t="shared" si="0"/>
        <v>Heavy User</v>
      </c>
    </row>
    <row r="40" spans="1:14" x14ac:dyDescent="0.25">
      <c r="A40">
        <v>39</v>
      </c>
      <c r="B40" t="s">
        <v>14</v>
      </c>
      <c r="C40" t="s">
        <v>12</v>
      </c>
      <c r="D40">
        <v>473</v>
      </c>
      <c r="E40">
        <v>6.4</v>
      </c>
      <c r="F40">
        <v>2312</v>
      </c>
      <c r="G40">
        <v>74</v>
      </c>
      <c r="H40">
        <v>1400</v>
      </c>
      <c r="I40">
        <v>40</v>
      </c>
      <c r="J40" t="str">
        <f>IF(Table2[[#This Row],[Age]]&lt;=24, "18 - 24", IF(Table2[[#This Row],[Age]]&lt;=34, "25 - 34", IF(Table2[[#This Row],[Age]]&lt;=44, "35 - 44", IF(Table2[[#This Row],[Age]]&lt;=54, "45 - 54", "55 - 59"))))</f>
        <v>35 - 44</v>
      </c>
      <c r="K40" t="str">
        <f>IF(Table2[[#This Row],[Age]]&lt;=24, "Young Adults", IF(Table2[[#This Row],[Age]]&lt;=34, "Early Career", IF(Table2[[#This Row],[Age]]&lt;=44, "Mid Career", IF(Table2[[#This Row],[Age]]&lt;=54, "Mature Adults", "Pre-retirment"))))</f>
        <v>Mid Career</v>
      </c>
      <c r="L40" t="s">
        <v>13</v>
      </c>
      <c r="M40">
        <v>4</v>
      </c>
      <c r="N40" t="str">
        <f t="shared" si="0"/>
        <v>Heavy User</v>
      </c>
    </row>
    <row r="41" spans="1:14" x14ac:dyDescent="0.25">
      <c r="A41">
        <v>40</v>
      </c>
      <c r="B41" t="s">
        <v>19</v>
      </c>
      <c r="C41" t="s">
        <v>12</v>
      </c>
      <c r="D41">
        <v>398</v>
      </c>
      <c r="E41">
        <v>6.2</v>
      </c>
      <c r="F41">
        <v>1851</v>
      </c>
      <c r="G41">
        <v>77</v>
      </c>
      <c r="H41">
        <v>1180</v>
      </c>
      <c r="I41">
        <v>23</v>
      </c>
      <c r="J41" t="str">
        <f>IF(Table2[[#This Row],[Age]]&lt;=24, "18 - 24", IF(Table2[[#This Row],[Age]]&lt;=34, "25 - 34", IF(Table2[[#This Row],[Age]]&lt;=44, "35 - 44", IF(Table2[[#This Row],[Age]]&lt;=54, "45 - 54", "55 - 59"))))</f>
        <v>18 - 24</v>
      </c>
      <c r="K41" t="str">
        <f>IF(Table2[[#This Row],[Age]]&lt;=24, "Young Adults", IF(Table2[[#This Row],[Age]]&lt;=34, "Early Career", IF(Table2[[#This Row],[Age]]&lt;=44, "Mid Career", IF(Table2[[#This Row],[Age]]&lt;=54, "Mature Adults", "Pre-retirment"))))</f>
        <v>Young Adults</v>
      </c>
      <c r="L41" t="s">
        <v>13</v>
      </c>
      <c r="M41">
        <v>4</v>
      </c>
      <c r="N41" t="str">
        <f t="shared" si="0"/>
        <v>Heavy User</v>
      </c>
    </row>
    <row r="42" spans="1:14" x14ac:dyDescent="0.25">
      <c r="A42">
        <v>41</v>
      </c>
      <c r="B42" t="s">
        <v>16</v>
      </c>
      <c r="C42" t="s">
        <v>12</v>
      </c>
      <c r="D42">
        <v>240</v>
      </c>
      <c r="E42">
        <v>4.7</v>
      </c>
      <c r="F42">
        <v>1464</v>
      </c>
      <c r="G42">
        <v>52</v>
      </c>
      <c r="H42">
        <v>708</v>
      </c>
      <c r="I42">
        <v>56</v>
      </c>
      <c r="J42" t="str">
        <f>IF(Table2[[#This Row],[Age]]&lt;=24, "18 - 24", IF(Table2[[#This Row],[Age]]&lt;=34, "25 - 34", IF(Table2[[#This Row],[Age]]&lt;=44, "35 - 44", IF(Table2[[#This Row],[Age]]&lt;=54, "45 - 54", "55 - 59"))))</f>
        <v>55 - 59</v>
      </c>
      <c r="K42" t="str">
        <f>IF(Table2[[#This Row],[Age]]&lt;=24, "Young Adults", IF(Table2[[#This Row],[Age]]&lt;=34, "Early Career", IF(Table2[[#This Row],[Age]]&lt;=44, "Mid Career", IF(Table2[[#This Row],[Age]]&lt;=54, "Mature Adults", "Pre-retirment"))))</f>
        <v>Pre-retirment</v>
      </c>
      <c r="L42" t="s">
        <v>15</v>
      </c>
      <c r="M42">
        <v>3</v>
      </c>
      <c r="N42" t="str">
        <f t="shared" si="0"/>
        <v>Moderate User</v>
      </c>
    </row>
    <row r="43" spans="1:14" x14ac:dyDescent="0.25">
      <c r="A43">
        <v>42</v>
      </c>
      <c r="B43" t="s">
        <v>14</v>
      </c>
      <c r="C43" t="s">
        <v>12</v>
      </c>
      <c r="D43">
        <v>576</v>
      </c>
      <c r="E43">
        <v>10.1</v>
      </c>
      <c r="F43">
        <v>2447</v>
      </c>
      <c r="G43">
        <v>83</v>
      </c>
      <c r="H43">
        <v>2323</v>
      </c>
      <c r="I43">
        <v>33</v>
      </c>
      <c r="J43" t="str">
        <f>IF(Table2[[#This Row],[Age]]&lt;=24, "18 - 24", IF(Table2[[#This Row],[Age]]&lt;=34, "25 - 34", IF(Table2[[#This Row],[Age]]&lt;=44, "35 - 44", IF(Table2[[#This Row],[Age]]&lt;=54, "45 - 54", "55 - 59"))))</f>
        <v>25 - 34</v>
      </c>
      <c r="K43" t="str">
        <f>IF(Table2[[#This Row],[Age]]&lt;=24, "Young Adults", IF(Table2[[#This Row],[Age]]&lt;=34, "Early Career", IF(Table2[[#This Row],[Age]]&lt;=44, "Mid Career", IF(Table2[[#This Row],[Age]]&lt;=54, "Mature Adults", "Pre-retirment"))))</f>
        <v>Early Career</v>
      </c>
      <c r="L43" t="s">
        <v>13</v>
      </c>
      <c r="M43">
        <v>5</v>
      </c>
      <c r="N43" t="str">
        <f t="shared" si="0"/>
        <v>Heavy User</v>
      </c>
    </row>
    <row r="44" spans="1:14" x14ac:dyDescent="0.25">
      <c r="A44">
        <v>43</v>
      </c>
      <c r="B44" t="s">
        <v>19</v>
      </c>
      <c r="C44" t="s">
        <v>12</v>
      </c>
      <c r="D44">
        <v>120</v>
      </c>
      <c r="E44">
        <v>2.1</v>
      </c>
      <c r="F44">
        <v>720</v>
      </c>
      <c r="G44">
        <v>39</v>
      </c>
      <c r="H44">
        <v>392</v>
      </c>
      <c r="I44">
        <v>43</v>
      </c>
      <c r="J44" t="str">
        <f>IF(Table2[[#This Row],[Age]]&lt;=24, "18 - 24", IF(Table2[[#This Row],[Age]]&lt;=34, "25 - 34", IF(Table2[[#This Row],[Age]]&lt;=44, "35 - 44", IF(Table2[[#This Row],[Age]]&lt;=54, "45 - 54", "55 - 59"))))</f>
        <v>35 - 44</v>
      </c>
      <c r="K44" t="str">
        <f>IF(Table2[[#This Row],[Age]]&lt;=24, "Young Adults", IF(Table2[[#This Row],[Age]]&lt;=34, "Early Career", IF(Table2[[#This Row],[Age]]&lt;=44, "Mid Career", IF(Table2[[#This Row],[Age]]&lt;=54, "Mature Adults", "Pre-retirment"))))</f>
        <v>Mid Career</v>
      </c>
      <c r="L44" t="s">
        <v>13</v>
      </c>
      <c r="M44">
        <v>2</v>
      </c>
      <c r="N44" t="str">
        <f t="shared" si="0"/>
        <v>Light User</v>
      </c>
    </row>
    <row r="45" spans="1:14" x14ac:dyDescent="0.25">
      <c r="A45">
        <v>44</v>
      </c>
      <c r="B45" t="s">
        <v>19</v>
      </c>
      <c r="C45" t="s">
        <v>12</v>
      </c>
      <c r="D45">
        <v>152</v>
      </c>
      <c r="E45">
        <v>3.7</v>
      </c>
      <c r="F45">
        <v>993</v>
      </c>
      <c r="G45">
        <v>32</v>
      </c>
      <c r="H45">
        <v>429</v>
      </c>
      <c r="I45">
        <v>18</v>
      </c>
      <c r="J45" t="str">
        <f>IF(Table2[[#This Row],[Age]]&lt;=24, "18 - 24", IF(Table2[[#This Row],[Age]]&lt;=34, "25 - 34", IF(Table2[[#This Row],[Age]]&lt;=44, "35 - 44", IF(Table2[[#This Row],[Age]]&lt;=54, "45 - 54", "55 - 59"))))</f>
        <v>18 - 24</v>
      </c>
      <c r="K45" t="str">
        <f>IF(Table2[[#This Row],[Age]]&lt;=24, "Young Adults", IF(Table2[[#This Row],[Age]]&lt;=34, "Early Career", IF(Table2[[#This Row],[Age]]&lt;=44, "Mid Career", IF(Table2[[#This Row],[Age]]&lt;=54, "Mature Adults", "Pre-retirment"))))</f>
        <v>Young Adults</v>
      </c>
      <c r="L45" t="s">
        <v>13</v>
      </c>
      <c r="M45">
        <v>2</v>
      </c>
      <c r="N45" t="str">
        <f t="shared" si="0"/>
        <v>Light User</v>
      </c>
    </row>
    <row r="46" spans="1:14" x14ac:dyDescent="0.25">
      <c r="A46">
        <v>45</v>
      </c>
      <c r="B46" t="s">
        <v>16</v>
      </c>
      <c r="C46" t="s">
        <v>12</v>
      </c>
      <c r="D46">
        <v>138</v>
      </c>
      <c r="E46">
        <v>2.4</v>
      </c>
      <c r="F46">
        <v>837</v>
      </c>
      <c r="G46">
        <v>21</v>
      </c>
      <c r="H46">
        <v>572</v>
      </c>
      <c r="I46">
        <v>56</v>
      </c>
      <c r="J46" t="str">
        <f>IF(Table2[[#This Row],[Age]]&lt;=24, "18 - 24", IF(Table2[[#This Row],[Age]]&lt;=34, "25 - 34", IF(Table2[[#This Row],[Age]]&lt;=44, "35 - 44", IF(Table2[[#This Row],[Age]]&lt;=54, "45 - 54", "55 - 59"))))</f>
        <v>55 - 59</v>
      </c>
      <c r="K46" t="str">
        <f>IF(Table2[[#This Row],[Age]]&lt;=24, "Young Adults", IF(Table2[[#This Row],[Age]]&lt;=34, "Early Career", IF(Table2[[#This Row],[Age]]&lt;=44, "Mid Career", IF(Table2[[#This Row],[Age]]&lt;=54, "Mature Adults", "Pre-retirment"))))</f>
        <v>Pre-retirment</v>
      </c>
      <c r="L46" t="s">
        <v>15</v>
      </c>
      <c r="M46">
        <v>2</v>
      </c>
      <c r="N46" t="str">
        <f t="shared" si="0"/>
        <v>Light User</v>
      </c>
    </row>
    <row r="47" spans="1:14" x14ac:dyDescent="0.25">
      <c r="A47">
        <v>46</v>
      </c>
      <c r="B47" t="s">
        <v>16</v>
      </c>
      <c r="C47" t="s">
        <v>12</v>
      </c>
      <c r="D47">
        <v>502</v>
      </c>
      <c r="E47">
        <v>10.9</v>
      </c>
      <c r="F47">
        <v>2476</v>
      </c>
      <c r="G47">
        <v>96</v>
      </c>
      <c r="H47">
        <v>1935</v>
      </c>
      <c r="I47">
        <v>39</v>
      </c>
      <c r="J47" t="str">
        <f>IF(Table2[[#This Row],[Age]]&lt;=24, "18 - 24", IF(Table2[[#This Row],[Age]]&lt;=34, "25 - 34", IF(Table2[[#This Row],[Age]]&lt;=44, "35 - 44", IF(Table2[[#This Row],[Age]]&lt;=54, "45 - 54", "55 - 59"))))</f>
        <v>35 - 44</v>
      </c>
      <c r="K47" t="str">
        <f>IF(Table2[[#This Row],[Age]]&lt;=24, "Young Adults", IF(Table2[[#This Row],[Age]]&lt;=34, "Early Career", IF(Table2[[#This Row],[Age]]&lt;=44, "Mid Career", IF(Table2[[#This Row],[Age]]&lt;=54, "Mature Adults", "Pre-retirment"))))</f>
        <v>Mid Career</v>
      </c>
      <c r="L47" t="s">
        <v>13</v>
      </c>
      <c r="M47">
        <v>5</v>
      </c>
      <c r="N47" t="str">
        <f t="shared" si="0"/>
        <v>Heavy User</v>
      </c>
    </row>
    <row r="48" spans="1:14" x14ac:dyDescent="0.25">
      <c r="A48">
        <v>47</v>
      </c>
      <c r="B48" t="s">
        <v>14</v>
      </c>
      <c r="C48" t="s">
        <v>12</v>
      </c>
      <c r="D48">
        <v>558</v>
      </c>
      <c r="E48">
        <v>8.4</v>
      </c>
      <c r="F48">
        <v>2447</v>
      </c>
      <c r="G48">
        <v>97</v>
      </c>
      <c r="H48">
        <v>1594</v>
      </c>
      <c r="I48">
        <v>22</v>
      </c>
      <c r="J48" t="str">
        <f>IF(Table2[[#This Row],[Age]]&lt;=24, "18 - 24", IF(Table2[[#This Row],[Age]]&lt;=34, "25 - 34", IF(Table2[[#This Row],[Age]]&lt;=44, "35 - 44", IF(Table2[[#This Row],[Age]]&lt;=54, "45 - 54", "55 - 59"))))</f>
        <v>18 - 24</v>
      </c>
      <c r="K48" t="str">
        <f>IF(Table2[[#This Row],[Age]]&lt;=24, "Young Adults", IF(Table2[[#This Row],[Age]]&lt;=34, "Early Career", IF(Table2[[#This Row],[Age]]&lt;=44, "Mid Career", IF(Table2[[#This Row],[Age]]&lt;=54, "Mature Adults", "Pre-retirment"))))</f>
        <v>Young Adults</v>
      </c>
      <c r="L48" t="s">
        <v>15</v>
      </c>
      <c r="M48">
        <v>5</v>
      </c>
      <c r="N48" t="str">
        <f t="shared" si="0"/>
        <v>Heavy User</v>
      </c>
    </row>
    <row r="49" spans="1:14" x14ac:dyDescent="0.25">
      <c r="A49">
        <v>48</v>
      </c>
      <c r="B49" t="s">
        <v>19</v>
      </c>
      <c r="C49" t="s">
        <v>12</v>
      </c>
      <c r="D49">
        <v>138</v>
      </c>
      <c r="E49">
        <v>3.6</v>
      </c>
      <c r="F49">
        <v>889</v>
      </c>
      <c r="G49">
        <v>25</v>
      </c>
      <c r="H49">
        <v>323</v>
      </c>
      <c r="I49">
        <v>27</v>
      </c>
      <c r="J49" t="str">
        <f>IF(Table2[[#This Row],[Age]]&lt;=24, "18 - 24", IF(Table2[[#This Row],[Age]]&lt;=34, "25 - 34", IF(Table2[[#This Row],[Age]]&lt;=44, "35 - 44", IF(Table2[[#This Row],[Age]]&lt;=54, "45 - 54", "55 - 59"))))</f>
        <v>25 - 34</v>
      </c>
      <c r="K49" t="str">
        <f>IF(Table2[[#This Row],[Age]]&lt;=24, "Young Adults", IF(Table2[[#This Row],[Age]]&lt;=34, "Early Career", IF(Table2[[#This Row],[Age]]&lt;=44, "Mid Career", IF(Table2[[#This Row],[Age]]&lt;=54, "Mature Adults", "Pre-retirment"))))</f>
        <v>Early Career</v>
      </c>
      <c r="L49" t="s">
        <v>15</v>
      </c>
      <c r="M49">
        <v>2</v>
      </c>
      <c r="N49" t="str">
        <f t="shared" si="0"/>
        <v>Light User</v>
      </c>
    </row>
    <row r="50" spans="1:14" x14ac:dyDescent="0.25">
      <c r="A50">
        <v>49</v>
      </c>
      <c r="B50" t="s">
        <v>11</v>
      </c>
      <c r="C50" t="s">
        <v>12</v>
      </c>
      <c r="D50">
        <v>580</v>
      </c>
      <c r="E50">
        <v>8.1999999999999993</v>
      </c>
      <c r="F50">
        <v>2623</v>
      </c>
      <c r="G50">
        <v>90</v>
      </c>
      <c r="H50">
        <v>2262</v>
      </c>
      <c r="I50">
        <v>49</v>
      </c>
      <c r="J50" t="str">
        <f>IF(Table2[[#This Row],[Age]]&lt;=24, "18 - 24", IF(Table2[[#This Row],[Age]]&lt;=34, "25 - 34", IF(Table2[[#This Row],[Age]]&lt;=44, "35 - 44", IF(Table2[[#This Row],[Age]]&lt;=54, "45 - 54", "55 - 59"))))</f>
        <v>45 - 54</v>
      </c>
      <c r="K50" t="str">
        <f>IF(Table2[[#This Row],[Age]]&lt;=24, "Young Adults", IF(Table2[[#This Row],[Age]]&lt;=34, "Early Career", IF(Table2[[#This Row],[Age]]&lt;=44, "Mid Career", IF(Table2[[#This Row],[Age]]&lt;=54, "Mature Adults", "Pre-retirment"))))</f>
        <v>Mature Adults</v>
      </c>
      <c r="L50" t="s">
        <v>13</v>
      </c>
      <c r="M50">
        <v>5</v>
      </c>
      <c r="N50" t="str">
        <f t="shared" si="0"/>
        <v>Heavy User</v>
      </c>
    </row>
    <row r="51" spans="1:14" x14ac:dyDescent="0.25">
      <c r="A51">
        <v>50</v>
      </c>
      <c r="B51" t="s">
        <v>14</v>
      </c>
      <c r="C51" t="s">
        <v>12</v>
      </c>
      <c r="D51">
        <v>589</v>
      </c>
      <c r="E51">
        <v>8.6999999999999993</v>
      </c>
      <c r="F51">
        <v>2736</v>
      </c>
      <c r="G51">
        <v>82</v>
      </c>
      <c r="H51">
        <v>1997</v>
      </c>
      <c r="I51">
        <v>49</v>
      </c>
      <c r="J51" t="str">
        <f>IF(Table2[[#This Row],[Age]]&lt;=24, "18 - 24", IF(Table2[[#This Row],[Age]]&lt;=34, "25 - 34", IF(Table2[[#This Row],[Age]]&lt;=44, "35 - 44", IF(Table2[[#This Row],[Age]]&lt;=54, "45 - 54", "55 - 59"))))</f>
        <v>45 - 54</v>
      </c>
      <c r="K51" t="str">
        <f>IF(Table2[[#This Row],[Age]]&lt;=24, "Young Adults", IF(Table2[[#This Row],[Age]]&lt;=34, "Early Career", IF(Table2[[#This Row],[Age]]&lt;=44, "Mid Career", IF(Table2[[#This Row],[Age]]&lt;=54, "Mature Adults", "Pre-retirment"))))</f>
        <v>Mature Adults</v>
      </c>
      <c r="L51" t="s">
        <v>13</v>
      </c>
      <c r="M51">
        <v>5</v>
      </c>
      <c r="N51" t="str">
        <f t="shared" si="0"/>
        <v>Heavy User</v>
      </c>
    </row>
    <row r="52" spans="1:14" x14ac:dyDescent="0.25">
      <c r="A52">
        <v>51</v>
      </c>
      <c r="B52" t="s">
        <v>16</v>
      </c>
      <c r="C52" t="s">
        <v>12</v>
      </c>
      <c r="D52">
        <v>452</v>
      </c>
      <c r="E52">
        <v>7.4</v>
      </c>
      <c r="F52">
        <v>2180</v>
      </c>
      <c r="G52">
        <v>61</v>
      </c>
      <c r="H52">
        <v>1417</v>
      </c>
      <c r="I52">
        <v>54</v>
      </c>
      <c r="J52" t="str">
        <f>IF(Table2[[#This Row],[Age]]&lt;=24, "18 - 24", IF(Table2[[#This Row],[Age]]&lt;=34, "25 - 34", IF(Table2[[#This Row],[Age]]&lt;=44, "35 - 44", IF(Table2[[#This Row],[Age]]&lt;=54, "45 - 54", "55 - 59"))))</f>
        <v>45 - 54</v>
      </c>
      <c r="K52" t="str">
        <f>IF(Table2[[#This Row],[Age]]&lt;=24, "Young Adults", IF(Table2[[#This Row],[Age]]&lt;=34, "Early Career", IF(Table2[[#This Row],[Age]]&lt;=44, "Mid Career", IF(Table2[[#This Row],[Age]]&lt;=54, "Mature Adults", "Pre-retirment"))))</f>
        <v>Mature Adults</v>
      </c>
      <c r="L52" t="s">
        <v>15</v>
      </c>
      <c r="M52">
        <v>4</v>
      </c>
      <c r="N52" t="str">
        <f t="shared" si="0"/>
        <v>Heavy User</v>
      </c>
    </row>
    <row r="53" spans="1:14" x14ac:dyDescent="0.25">
      <c r="A53">
        <v>52</v>
      </c>
      <c r="B53" t="s">
        <v>16</v>
      </c>
      <c r="C53" t="s">
        <v>12</v>
      </c>
      <c r="D53">
        <v>245</v>
      </c>
      <c r="E53">
        <v>5.9</v>
      </c>
      <c r="F53">
        <v>1243</v>
      </c>
      <c r="G53">
        <v>52</v>
      </c>
      <c r="H53">
        <v>885</v>
      </c>
      <c r="I53">
        <v>29</v>
      </c>
      <c r="J53" t="str">
        <f>IF(Table2[[#This Row],[Age]]&lt;=24, "18 - 24", IF(Table2[[#This Row],[Age]]&lt;=34, "25 - 34", IF(Table2[[#This Row],[Age]]&lt;=44, "35 - 44", IF(Table2[[#This Row],[Age]]&lt;=54, "45 - 54", "55 - 59"))))</f>
        <v>25 - 34</v>
      </c>
      <c r="K53" t="str">
        <f>IF(Table2[[#This Row],[Age]]&lt;=24, "Young Adults", IF(Table2[[#This Row],[Age]]&lt;=34, "Early Career", IF(Table2[[#This Row],[Age]]&lt;=44, "Mid Career", IF(Table2[[#This Row],[Age]]&lt;=54, "Mature Adults", "Pre-retirment"))))</f>
        <v>Early Career</v>
      </c>
      <c r="L53" t="s">
        <v>13</v>
      </c>
      <c r="M53">
        <v>3</v>
      </c>
      <c r="N53" t="str">
        <f t="shared" si="0"/>
        <v>Moderate User</v>
      </c>
    </row>
    <row r="54" spans="1:14" x14ac:dyDescent="0.25">
      <c r="A54">
        <v>53</v>
      </c>
      <c r="B54" t="s">
        <v>19</v>
      </c>
      <c r="C54" t="s">
        <v>12</v>
      </c>
      <c r="D54">
        <v>125</v>
      </c>
      <c r="E54">
        <v>2.7</v>
      </c>
      <c r="F54">
        <v>690</v>
      </c>
      <c r="G54">
        <v>28</v>
      </c>
      <c r="H54">
        <v>393</v>
      </c>
      <c r="I54">
        <v>27</v>
      </c>
      <c r="J54" t="str">
        <f>IF(Table2[[#This Row],[Age]]&lt;=24, "18 - 24", IF(Table2[[#This Row],[Age]]&lt;=34, "25 - 34", IF(Table2[[#This Row],[Age]]&lt;=44, "35 - 44", IF(Table2[[#This Row],[Age]]&lt;=54, "45 - 54", "55 - 59"))))</f>
        <v>25 - 34</v>
      </c>
      <c r="K54" t="str">
        <f>IF(Table2[[#This Row],[Age]]&lt;=24, "Young Adults", IF(Table2[[#This Row],[Age]]&lt;=34, "Early Career", IF(Table2[[#This Row],[Age]]&lt;=44, "Mid Career", IF(Table2[[#This Row],[Age]]&lt;=54, "Mature Adults", "Pre-retirment"))))</f>
        <v>Early Career</v>
      </c>
      <c r="L54" t="s">
        <v>15</v>
      </c>
      <c r="M54">
        <v>2</v>
      </c>
      <c r="N54" t="str">
        <f t="shared" si="0"/>
        <v>Light User</v>
      </c>
    </row>
    <row r="55" spans="1:14" x14ac:dyDescent="0.25">
      <c r="A55">
        <v>54</v>
      </c>
      <c r="B55" t="s">
        <v>16</v>
      </c>
      <c r="C55" t="s">
        <v>12</v>
      </c>
      <c r="D55">
        <v>97</v>
      </c>
      <c r="E55">
        <v>2.2000000000000002</v>
      </c>
      <c r="F55">
        <v>1101</v>
      </c>
      <c r="G55">
        <v>38</v>
      </c>
      <c r="H55">
        <v>375</v>
      </c>
      <c r="I55">
        <v>53</v>
      </c>
      <c r="J55" t="str">
        <f>IF(Table2[[#This Row],[Age]]&lt;=24, "18 - 24", IF(Table2[[#This Row],[Age]]&lt;=34, "25 - 34", IF(Table2[[#This Row],[Age]]&lt;=44, "35 - 44", IF(Table2[[#This Row],[Age]]&lt;=54, "45 - 54", "55 - 59"))))</f>
        <v>45 - 54</v>
      </c>
      <c r="K55" t="str">
        <f>IF(Table2[[#This Row],[Age]]&lt;=24, "Young Adults", IF(Table2[[#This Row],[Age]]&lt;=34, "Early Career", IF(Table2[[#This Row],[Age]]&lt;=44, "Mid Career", IF(Table2[[#This Row],[Age]]&lt;=54, "Mature Adults", "Pre-retirment"))))</f>
        <v>Mature Adults</v>
      </c>
      <c r="L55" t="s">
        <v>13</v>
      </c>
      <c r="M55">
        <v>2</v>
      </c>
      <c r="N55" t="str">
        <f t="shared" si="0"/>
        <v>Light User</v>
      </c>
    </row>
    <row r="56" spans="1:14" x14ac:dyDescent="0.25">
      <c r="A56">
        <v>55</v>
      </c>
      <c r="B56" t="s">
        <v>11</v>
      </c>
      <c r="C56" t="s">
        <v>12</v>
      </c>
      <c r="D56">
        <v>516</v>
      </c>
      <c r="E56">
        <v>8.6999999999999993</v>
      </c>
      <c r="F56">
        <v>2857</v>
      </c>
      <c r="G56">
        <v>83</v>
      </c>
      <c r="H56">
        <v>2189</v>
      </c>
      <c r="I56">
        <v>53</v>
      </c>
      <c r="J56" t="str">
        <f>IF(Table2[[#This Row],[Age]]&lt;=24, "18 - 24", IF(Table2[[#This Row],[Age]]&lt;=34, "25 - 34", IF(Table2[[#This Row],[Age]]&lt;=44, "35 - 44", IF(Table2[[#This Row],[Age]]&lt;=54, "45 - 54", "55 - 59"))))</f>
        <v>45 - 54</v>
      </c>
      <c r="K56" t="str">
        <f>IF(Table2[[#This Row],[Age]]&lt;=24, "Young Adults", IF(Table2[[#This Row],[Age]]&lt;=34, "Early Career", IF(Table2[[#This Row],[Age]]&lt;=44, "Mid Career", IF(Table2[[#This Row],[Age]]&lt;=54, "Mature Adults", "Pre-retirment"))))</f>
        <v>Mature Adults</v>
      </c>
      <c r="L56" t="s">
        <v>15</v>
      </c>
      <c r="M56">
        <v>5</v>
      </c>
      <c r="N56" t="str">
        <f t="shared" si="0"/>
        <v>Heavy User</v>
      </c>
    </row>
    <row r="57" spans="1:14" x14ac:dyDescent="0.25">
      <c r="A57">
        <v>56</v>
      </c>
      <c r="B57" t="s">
        <v>17</v>
      </c>
      <c r="C57" t="s">
        <v>18</v>
      </c>
      <c r="D57">
        <v>68</v>
      </c>
      <c r="E57">
        <v>1.6</v>
      </c>
      <c r="F57">
        <v>450</v>
      </c>
      <c r="G57">
        <v>14</v>
      </c>
      <c r="H57">
        <v>111</v>
      </c>
      <c r="I57">
        <v>30</v>
      </c>
      <c r="J57" t="str">
        <f>IF(Table2[[#This Row],[Age]]&lt;=24, "18 - 24", IF(Table2[[#This Row],[Age]]&lt;=34, "25 - 34", IF(Table2[[#This Row],[Age]]&lt;=44, "35 - 44", IF(Table2[[#This Row],[Age]]&lt;=54, "45 - 54", "55 - 59"))))</f>
        <v>25 - 34</v>
      </c>
      <c r="K57" t="str">
        <f>IF(Table2[[#This Row],[Age]]&lt;=24, "Young Adults", IF(Table2[[#This Row],[Age]]&lt;=34, "Early Career", IF(Table2[[#This Row],[Age]]&lt;=44, "Mid Career", IF(Table2[[#This Row],[Age]]&lt;=54, "Mature Adults", "Pre-retirment"))))</f>
        <v>Early Career</v>
      </c>
      <c r="L57" t="s">
        <v>13</v>
      </c>
      <c r="M57">
        <v>1</v>
      </c>
      <c r="N57" t="str">
        <f t="shared" si="0"/>
        <v>Light User</v>
      </c>
    </row>
    <row r="58" spans="1:14" x14ac:dyDescent="0.25">
      <c r="A58">
        <v>57</v>
      </c>
      <c r="B58" t="s">
        <v>14</v>
      </c>
      <c r="C58" t="s">
        <v>12</v>
      </c>
      <c r="D58">
        <v>64</v>
      </c>
      <c r="E58">
        <v>1.1000000000000001</v>
      </c>
      <c r="F58">
        <v>572</v>
      </c>
      <c r="G58">
        <v>10</v>
      </c>
      <c r="H58">
        <v>161</v>
      </c>
      <c r="I58">
        <v>42</v>
      </c>
      <c r="J58" t="str">
        <f>IF(Table2[[#This Row],[Age]]&lt;=24, "18 - 24", IF(Table2[[#This Row],[Age]]&lt;=34, "25 - 34", IF(Table2[[#This Row],[Age]]&lt;=44, "35 - 44", IF(Table2[[#This Row],[Age]]&lt;=54, "45 - 54", "55 - 59"))))</f>
        <v>35 - 44</v>
      </c>
      <c r="K58" t="str">
        <f>IF(Table2[[#This Row],[Age]]&lt;=24, "Young Adults", IF(Table2[[#This Row],[Age]]&lt;=34, "Early Career", IF(Table2[[#This Row],[Age]]&lt;=44, "Mid Career", IF(Table2[[#This Row],[Age]]&lt;=54, "Mature Adults", "Pre-retirment"))))</f>
        <v>Mid Career</v>
      </c>
      <c r="L58" t="s">
        <v>15</v>
      </c>
      <c r="M58">
        <v>1</v>
      </c>
      <c r="N58" t="str">
        <f t="shared" si="0"/>
        <v>Light User</v>
      </c>
    </row>
    <row r="59" spans="1:14" x14ac:dyDescent="0.25">
      <c r="A59">
        <v>58</v>
      </c>
      <c r="B59" t="s">
        <v>14</v>
      </c>
      <c r="C59" t="s">
        <v>12</v>
      </c>
      <c r="D59">
        <v>539</v>
      </c>
      <c r="E59">
        <v>8.4</v>
      </c>
      <c r="F59">
        <v>2796</v>
      </c>
      <c r="G59">
        <v>89</v>
      </c>
      <c r="H59">
        <v>2415</v>
      </c>
      <c r="I59">
        <v>26</v>
      </c>
      <c r="J59" t="str">
        <f>IF(Table2[[#This Row],[Age]]&lt;=24, "18 - 24", IF(Table2[[#This Row],[Age]]&lt;=34, "25 - 34", IF(Table2[[#This Row],[Age]]&lt;=44, "35 - 44", IF(Table2[[#This Row],[Age]]&lt;=54, "45 - 54", "55 - 59"))))</f>
        <v>25 - 34</v>
      </c>
      <c r="K59" t="str">
        <f>IF(Table2[[#This Row],[Age]]&lt;=24, "Young Adults", IF(Table2[[#This Row],[Age]]&lt;=34, "Early Career", IF(Table2[[#This Row],[Age]]&lt;=44, "Mid Career", IF(Table2[[#This Row],[Age]]&lt;=54, "Mature Adults", "Pre-retirment"))))</f>
        <v>Early Career</v>
      </c>
      <c r="L59" t="s">
        <v>13</v>
      </c>
      <c r="M59">
        <v>5</v>
      </c>
      <c r="N59" t="str">
        <f t="shared" si="0"/>
        <v>Heavy User</v>
      </c>
    </row>
    <row r="60" spans="1:14" x14ac:dyDescent="0.25">
      <c r="A60">
        <v>59</v>
      </c>
      <c r="B60" t="s">
        <v>16</v>
      </c>
      <c r="C60" t="s">
        <v>12</v>
      </c>
      <c r="D60">
        <v>428</v>
      </c>
      <c r="E60">
        <v>7</v>
      </c>
      <c r="F60">
        <v>2306</v>
      </c>
      <c r="G60">
        <v>75</v>
      </c>
      <c r="H60">
        <v>1144</v>
      </c>
      <c r="I60">
        <v>22</v>
      </c>
      <c r="J60" t="str">
        <f>IF(Table2[[#This Row],[Age]]&lt;=24, "18 - 24", IF(Table2[[#This Row],[Age]]&lt;=34, "25 - 34", IF(Table2[[#This Row],[Age]]&lt;=44, "35 - 44", IF(Table2[[#This Row],[Age]]&lt;=54, "45 - 54", "55 - 59"))))</f>
        <v>18 - 24</v>
      </c>
      <c r="K60" t="str">
        <f>IF(Table2[[#This Row],[Age]]&lt;=24, "Young Adults", IF(Table2[[#This Row],[Age]]&lt;=34, "Early Career", IF(Table2[[#This Row],[Age]]&lt;=44, "Mid Career", IF(Table2[[#This Row],[Age]]&lt;=54, "Mature Adults", "Pre-retirment"))))</f>
        <v>Young Adults</v>
      </c>
      <c r="L60" t="s">
        <v>13</v>
      </c>
      <c r="M60">
        <v>4</v>
      </c>
      <c r="N60" t="str">
        <f t="shared" si="0"/>
        <v>Heavy User</v>
      </c>
    </row>
    <row r="61" spans="1:14" x14ac:dyDescent="0.25">
      <c r="A61">
        <v>60</v>
      </c>
      <c r="B61" t="s">
        <v>17</v>
      </c>
      <c r="C61" t="s">
        <v>18</v>
      </c>
      <c r="D61">
        <v>325</v>
      </c>
      <c r="E61">
        <v>7.1</v>
      </c>
      <c r="F61">
        <v>2269</v>
      </c>
      <c r="G61">
        <v>64</v>
      </c>
      <c r="H61">
        <v>1053</v>
      </c>
      <c r="I61">
        <v>56</v>
      </c>
      <c r="J61" t="str">
        <f>IF(Table2[[#This Row],[Age]]&lt;=24, "18 - 24", IF(Table2[[#This Row],[Age]]&lt;=34, "25 - 34", IF(Table2[[#This Row],[Age]]&lt;=44, "35 - 44", IF(Table2[[#This Row],[Age]]&lt;=54, "45 - 54", "55 - 59"))))</f>
        <v>55 - 59</v>
      </c>
      <c r="K61" t="str">
        <f>IF(Table2[[#This Row],[Age]]&lt;=24, "Young Adults", IF(Table2[[#This Row],[Age]]&lt;=34, "Early Career", IF(Table2[[#This Row],[Age]]&lt;=44, "Mid Career", IF(Table2[[#This Row],[Age]]&lt;=54, "Mature Adults", "Pre-retirment"))))</f>
        <v>Pre-retirment</v>
      </c>
      <c r="L61" t="s">
        <v>13</v>
      </c>
      <c r="M61">
        <v>4</v>
      </c>
      <c r="N61" t="str">
        <f t="shared" si="0"/>
        <v>Heavy User</v>
      </c>
    </row>
    <row r="62" spans="1:14" x14ac:dyDescent="0.25">
      <c r="A62">
        <v>61</v>
      </c>
      <c r="B62" t="s">
        <v>16</v>
      </c>
      <c r="C62" t="s">
        <v>12</v>
      </c>
      <c r="D62">
        <v>522</v>
      </c>
      <c r="E62">
        <v>11.9</v>
      </c>
      <c r="F62">
        <v>2798</v>
      </c>
      <c r="G62">
        <v>85</v>
      </c>
      <c r="H62">
        <v>1663</v>
      </c>
      <c r="I62">
        <v>28</v>
      </c>
      <c r="J62" t="str">
        <f>IF(Table2[[#This Row],[Age]]&lt;=24, "18 - 24", IF(Table2[[#This Row],[Age]]&lt;=34, "25 - 34", IF(Table2[[#This Row],[Age]]&lt;=44, "35 - 44", IF(Table2[[#This Row],[Age]]&lt;=54, "45 - 54", "55 - 59"))))</f>
        <v>25 - 34</v>
      </c>
      <c r="K62" t="str">
        <f>IF(Table2[[#This Row],[Age]]&lt;=24, "Young Adults", IF(Table2[[#This Row],[Age]]&lt;=34, "Early Career", IF(Table2[[#This Row],[Age]]&lt;=44, "Mid Career", IF(Table2[[#This Row],[Age]]&lt;=54, "Mature Adults", "Pre-retirment"))))</f>
        <v>Early Career</v>
      </c>
      <c r="L62" t="s">
        <v>15</v>
      </c>
      <c r="M62">
        <v>5</v>
      </c>
      <c r="N62" t="str">
        <f t="shared" si="0"/>
        <v>Heavy User</v>
      </c>
    </row>
    <row r="63" spans="1:14" x14ac:dyDescent="0.25">
      <c r="A63">
        <v>62</v>
      </c>
      <c r="B63" t="s">
        <v>16</v>
      </c>
      <c r="C63" t="s">
        <v>12</v>
      </c>
      <c r="D63">
        <v>309</v>
      </c>
      <c r="E63">
        <v>7.5</v>
      </c>
      <c r="F63">
        <v>2292</v>
      </c>
      <c r="G63">
        <v>77</v>
      </c>
      <c r="H63">
        <v>1253</v>
      </c>
      <c r="I63">
        <v>57</v>
      </c>
      <c r="J63" t="str">
        <f>IF(Table2[[#This Row],[Age]]&lt;=24, "18 - 24", IF(Table2[[#This Row],[Age]]&lt;=34, "25 - 34", IF(Table2[[#This Row],[Age]]&lt;=44, "35 - 44", IF(Table2[[#This Row],[Age]]&lt;=54, "45 - 54", "55 - 59"))))</f>
        <v>55 - 59</v>
      </c>
      <c r="K63" t="str">
        <f>IF(Table2[[#This Row],[Age]]&lt;=24, "Young Adults", IF(Table2[[#This Row],[Age]]&lt;=34, "Early Career", IF(Table2[[#This Row],[Age]]&lt;=44, "Mid Career", IF(Table2[[#This Row],[Age]]&lt;=54, "Mature Adults", "Pre-retirment"))))</f>
        <v>Pre-retirment</v>
      </c>
      <c r="L63" t="s">
        <v>15</v>
      </c>
      <c r="M63">
        <v>4</v>
      </c>
      <c r="N63" t="str">
        <f t="shared" si="0"/>
        <v>Heavy User</v>
      </c>
    </row>
    <row r="64" spans="1:14" x14ac:dyDescent="0.25">
      <c r="A64">
        <v>63</v>
      </c>
      <c r="B64" t="s">
        <v>16</v>
      </c>
      <c r="C64" t="s">
        <v>12</v>
      </c>
      <c r="D64">
        <v>79</v>
      </c>
      <c r="E64">
        <v>1.9</v>
      </c>
      <c r="F64">
        <v>493</v>
      </c>
      <c r="G64">
        <v>14</v>
      </c>
      <c r="H64">
        <v>128</v>
      </c>
      <c r="I64">
        <v>55</v>
      </c>
      <c r="J64" t="str">
        <f>IF(Table2[[#This Row],[Age]]&lt;=24, "18 - 24", IF(Table2[[#This Row],[Age]]&lt;=34, "25 - 34", IF(Table2[[#This Row],[Age]]&lt;=44, "35 - 44", IF(Table2[[#This Row],[Age]]&lt;=54, "45 - 54", "55 - 59"))))</f>
        <v>55 - 59</v>
      </c>
      <c r="K64" t="str">
        <f>IF(Table2[[#This Row],[Age]]&lt;=24, "Young Adults", IF(Table2[[#This Row],[Age]]&lt;=34, "Early Career", IF(Table2[[#This Row],[Age]]&lt;=44, "Mid Career", IF(Table2[[#This Row],[Age]]&lt;=54, "Mature Adults", "Pre-retirment"))))</f>
        <v>Pre-retirment</v>
      </c>
      <c r="L64" t="s">
        <v>13</v>
      </c>
      <c r="M64">
        <v>1</v>
      </c>
      <c r="N64" t="str">
        <f t="shared" si="0"/>
        <v>Light User</v>
      </c>
    </row>
    <row r="65" spans="1:14" x14ac:dyDescent="0.25">
      <c r="A65">
        <v>64</v>
      </c>
      <c r="B65" t="s">
        <v>16</v>
      </c>
      <c r="C65" t="s">
        <v>12</v>
      </c>
      <c r="D65">
        <v>545</v>
      </c>
      <c r="E65">
        <v>11.5</v>
      </c>
      <c r="F65">
        <v>2911</v>
      </c>
      <c r="G65">
        <v>87</v>
      </c>
      <c r="H65">
        <v>1717</v>
      </c>
      <c r="I65">
        <v>21</v>
      </c>
      <c r="J65" t="str">
        <f>IF(Table2[[#This Row],[Age]]&lt;=24, "18 - 24", IF(Table2[[#This Row],[Age]]&lt;=34, "25 - 34", IF(Table2[[#This Row],[Age]]&lt;=44, "35 - 44", IF(Table2[[#This Row],[Age]]&lt;=54, "45 - 54", "55 - 59"))))</f>
        <v>18 - 24</v>
      </c>
      <c r="K65" t="str">
        <f>IF(Table2[[#This Row],[Age]]&lt;=24, "Young Adults", IF(Table2[[#This Row],[Age]]&lt;=34, "Early Career", IF(Table2[[#This Row],[Age]]&lt;=44, "Mid Career", IF(Table2[[#This Row],[Age]]&lt;=54, "Mature Adults", "Pre-retirment"))))</f>
        <v>Young Adults</v>
      </c>
      <c r="L65" t="s">
        <v>15</v>
      </c>
      <c r="M65">
        <v>5</v>
      </c>
      <c r="N65" t="str">
        <f t="shared" si="0"/>
        <v>Heavy User</v>
      </c>
    </row>
    <row r="66" spans="1:14" x14ac:dyDescent="0.25">
      <c r="A66">
        <v>65</v>
      </c>
      <c r="B66" t="s">
        <v>19</v>
      </c>
      <c r="C66" t="s">
        <v>12</v>
      </c>
      <c r="D66">
        <v>459</v>
      </c>
      <c r="E66">
        <v>7</v>
      </c>
      <c r="F66">
        <v>1982</v>
      </c>
      <c r="G66">
        <v>67</v>
      </c>
      <c r="H66">
        <v>1091</v>
      </c>
      <c r="I66">
        <v>43</v>
      </c>
      <c r="J66" t="str">
        <f>IF(Table2[[#This Row],[Age]]&lt;=24, "18 - 24", IF(Table2[[#This Row],[Age]]&lt;=34, "25 - 34", IF(Table2[[#This Row],[Age]]&lt;=44, "35 - 44", IF(Table2[[#This Row],[Age]]&lt;=54, "45 - 54", "55 - 59"))))</f>
        <v>35 - 44</v>
      </c>
      <c r="K66" t="str">
        <f>IF(Table2[[#This Row],[Age]]&lt;=24, "Young Adults", IF(Table2[[#This Row],[Age]]&lt;=34, "Early Career", IF(Table2[[#This Row],[Age]]&lt;=44, "Mid Career", IF(Table2[[#This Row],[Age]]&lt;=54, "Mature Adults", "Pre-retirment"))))</f>
        <v>Mid Career</v>
      </c>
      <c r="L66" t="s">
        <v>13</v>
      </c>
      <c r="M66">
        <v>4</v>
      </c>
      <c r="N66" t="str">
        <f t="shared" si="0"/>
        <v>Heavy User</v>
      </c>
    </row>
    <row r="67" spans="1:14" x14ac:dyDescent="0.25">
      <c r="A67">
        <v>66</v>
      </c>
      <c r="B67" t="s">
        <v>17</v>
      </c>
      <c r="C67" t="s">
        <v>18</v>
      </c>
      <c r="D67">
        <v>225</v>
      </c>
      <c r="E67">
        <v>4</v>
      </c>
      <c r="F67">
        <v>1420</v>
      </c>
      <c r="G67">
        <v>48</v>
      </c>
      <c r="H67">
        <v>917</v>
      </c>
      <c r="I67">
        <v>56</v>
      </c>
      <c r="J67" t="str">
        <f>IF(Table2[[#This Row],[Age]]&lt;=24, "18 - 24", IF(Table2[[#This Row],[Age]]&lt;=34, "25 - 34", IF(Table2[[#This Row],[Age]]&lt;=44, "35 - 44", IF(Table2[[#This Row],[Age]]&lt;=54, "45 - 54", "55 - 59"))))</f>
        <v>55 - 59</v>
      </c>
      <c r="K67" t="str">
        <f>IF(Table2[[#This Row],[Age]]&lt;=24, "Young Adults", IF(Table2[[#This Row],[Age]]&lt;=34, "Early Career", IF(Table2[[#This Row],[Age]]&lt;=44, "Mid Career", IF(Table2[[#This Row],[Age]]&lt;=54, "Mature Adults", "Pre-retirment"))))</f>
        <v>Pre-retirment</v>
      </c>
      <c r="L67" t="s">
        <v>13</v>
      </c>
      <c r="M67">
        <v>3</v>
      </c>
      <c r="N67" t="str">
        <f t="shared" ref="N67:N130" si="1">IF(M67&lt;=2, "Light User", IF(M67=3, "Moderate User", "Heavy User"))</f>
        <v>Moderate User</v>
      </c>
    </row>
    <row r="68" spans="1:14" x14ac:dyDescent="0.25">
      <c r="A68">
        <v>67</v>
      </c>
      <c r="B68" t="s">
        <v>17</v>
      </c>
      <c r="C68" t="s">
        <v>18</v>
      </c>
      <c r="D68">
        <v>257</v>
      </c>
      <c r="E68">
        <v>4.5</v>
      </c>
      <c r="F68">
        <v>1705</v>
      </c>
      <c r="G68">
        <v>57</v>
      </c>
      <c r="H68">
        <v>912</v>
      </c>
      <c r="I68">
        <v>55</v>
      </c>
      <c r="J68" t="str">
        <f>IF(Table2[[#This Row],[Age]]&lt;=24, "18 - 24", IF(Table2[[#This Row],[Age]]&lt;=34, "25 - 34", IF(Table2[[#This Row],[Age]]&lt;=44, "35 - 44", IF(Table2[[#This Row],[Age]]&lt;=54, "45 - 54", "55 - 59"))))</f>
        <v>55 - 59</v>
      </c>
      <c r="K68" t="str">
        <f>IF(Table2[[#This Row],[Age]]&lt;=24, "Young Adults", IF(Table2[[#This Row],[Age]]&lt;=34, "Early Career", IF(Table2[[#This Row],[Age]]&lt;=44, "Mid Career", IF(Table2[[#This Row],[Age]]&lt;=54, "Mature Adults", "Pre-retirment"))))</f>
        <v>Pre-retirment</v>
      </c>
      <c r="L68" t="s">
        <v>13</v>
      </c>
      <c r="M68">
        <v>3</v>
      </c>
      <c r="N68" t="str">
        <f t="shared" si="1"/>
        <v>Moderate User</v>
      </c>
    </row>
    <row r="69" spans="1:14" x14ac:dyDescent="0.25">
      <c r="A69">
        <v>68</v>
      </c>
      <c r="B69" t="s">
        <v>16</v>
      </c>
      <c r="C69" t="s">
        <v>12</v>
      </c>
      <c r="D69">
        <v>134</v>
      </c>
      <c r="E69">
        <v>4</v>
      </c>
      <c r="F69">
        <v>773</v>
      </c>
      <c r="G69">
        <v>35</v>
      </c>
      <c r="H69">
        <v>449</v>
      </c>
      <c r="I69">
        <v>28</v>
      </c>
      <c r="J69" t="str">
        <f>IF(Table2[[#This Row],[Age]]&lt;=24, "18 - 24", IF(Table2[[#This Row],[Age]]&lt;=34, "25 - 34", IF(Table2[[#This Row],[Age]]&lt;=44, "35 - 44", IF(Table2[[#This Row],[Age]]&lt;=54, "45 - 54", "55 - 59"))))</f>
        <v>25 - 34</v>
      </c>
      <c r="K69" t="str">
        <f>IF(Table2[[#This Row],[Age]]&lt;=24, "Young Adults", IF(Table2[[#This Row],[Age]]&lt;=34, "Early Career", IF(Table2[[#This Row],[Age]]&lt;=44, "Mid Career", IF(Table2[[#This Row],[Age]]&lt;=54, "Mature Adults", "Pre-retirment"))))</f>
        <v>Early Career</v>
      </c>
      <c r="L69" t="s">
        <v>15</v>
      </c>
      <c r="M69">
        <v>2</v>
      </c>
      <c r="N69" t="str">
        <f t="shared" si="1"/>
        <v>Light User</v>
      </c>
    </row>
    <row r="70" spans="1:14" x14ac:dyDescent="0.25">
      <c r="A70">
        <v>69</v>
      </c>
      <c r="B70" t="s">
        <v>17</v>
      </c>
      <c r="C70" t="s">
        <v>18</v>
      </c>
      <c r="D70">
        <v>516</v>
      </c>
      <c r="E70">
        <v>10.199999999999999</v>
      </c>
      <c r="F70">
        <v>2932</v>
      </c>
      <c r="G70">
        <v>98</v>
      </c>
      <c r="H70">
        <v>1547</v>
      </c>
      <c r="I70">
        <v>31</v>
      </c>
      <c r="J70" t="str">
        <f>IF(Table2[[#This Row],[Age]]&lt;=24, "18 - 24", IF(Table2[[#This Row],[Age]]&lt;=34, "25 - 34", IF(Table2[[#This Row],[Age]]&lt;=44, "35 - 44", IF(Table2[[#This Row],[Age]]&lt;=54, "45 - 54", "55 - 59"))))</f>
        <v>25 - 34</v>
      </c>
      <c r="K70" t="str">
        <f>IF(Table2[[#This Row],[Age]]&lt;=24, "Young Adults", IF(Table2[[#This Row],[Age]]&lt;=34, "Early Career", IF(Table2[[#This Row],[Age]]&lt;=44, "Mid Career", IF(Table2[[#This Row],[Age]]&lt;=54, "Mature Adults", "Pre-retirment"))))</f>
        <v>Early Career</v>
      </c>
      <c r="L70" t="s">
        <v>13</v>
      </c>
      <c r="M70">
        <v>5</v>
      </c>
      <c r="N70" t="str">
        <f t="shared" si="1"/>
        <v>Heavy User</v>
      </c>
    </row>
    <row r="71" spans="1:14" x14ac:dyDescent="0.25">
      <c r="A71">
        <v>70</v>
      </c>
      <c r="B71" t="s">
        <v>11</v>
      </c>
      <c r="C71" t="s">
        <v>12</v>
      </c>
      <c r="D71">
        <v>82</v>
      </c>
      <c r="E71">
        <v>1.7</v>
      </c>
      <c r="F71">
        <v>558</v>
      </c>
      <c r="G71">
        <v>16</v>
      </c>
      <c r="H71">
        <v>284</v>
      </c>
      <c r="I71">
        <v>29</v>
      </c>
      <c r="J71" t="str">
        <f>IF(Table2[[#This Row],[Age]]&lt;=24, "18 - 24", IF(Table2[[#This Row],[Age]]&lt;=34, "25 - 34", IF(Table2[[#This Row],[Age]]&lt;=44, "35 - 44", IF(Table2[[#This Row],[Age]]&lt;=54, "45 - 54", "55 - 59"))))</f>
        <v>25 - 34</v>
      </c>
      <c r="K71" t="str">
        <f>IF(Table2[[#This Row],[Age]]&lt;=24, "Young Adults", IF(Table2[[#This Row],[Age]]&lt;=34, "Early Career", IF(Table2[[#This Row],[Age]]&lt;=44, "Mid Career", IF(Table2[[#This Row],[Age]]&lt;=54, "Mature Adults", "Pre-retirment"))))</f>
        <v>Early Career</v>
      </c>
      <c r="L71" t="s">
        <v>15</v>
      </c>
      <c r="M71">
        <v>1</v>
      </c>
      <c r="N71" t="str">
        <f t="shared" si="1"/>
        <v>Light User</v>
      </c>
    </row>
    <row r="72" spans="1:14" x14ac:dyDescent="0.25">
      <c r="A72">
        <v>71</v>
      </c>
      <c r="B72" t="s">
        <v>19</v>
      </c>
      <c r="C72" t="s">
        <v>12</v>
      </c>
      <c r="D72">
        <v>452</v>
      </c>
      <c r="E72">
        <v>7.2</v>
      </c>
      <c r="F72">
        <v>1808</v>
      </c>
      <c r="G72">
        <v>64</v>
      </c>
      <c r="H72">
        <v>1090</v>
      </c>
      <c r="I72">
        <v>45</v>
      </c>
      <c r="J72" t="str">
        <f>IF(Table2[[#This Row],[Age]]&lt;=24, "18 - 24", IF(Table2[[#This Row],[Age]]&lt;=34, "25 - 34", IF(Table2[[#This Row],[Age]]&lt;=44, "35 - 44", IF(Table2[[#This Row],[Age]]&lt;=54, "45 - 54", "55 - 59"))))</f>
        <v>45 - 54</v>
      </c>
      <c r="K72" t="str">
        <f>IF(Table2[[#This Row],[Age]]&lt;=24, "Young Adults", IF(Table2[[#This Row],[Age]]&lt;=34, "Early Career", IF(Table2[[#This Row],[Age]]&lt;=44, "Mid Career", IF(Table2[[#This Row],[Age]]&lt;=54, "Mature Adults", "Pre-retirment"))))</f>
        <v>Mature Adults</v>
      </c>
      <c r="L72" t="s">
        <v>15</v>
      </c>
      <c r="M72">
        <v>4</v>
      </c>
      <c r="N72" t="str">
        <f t="shared" si="1"/>
        <v>Heavy User</v>
      </c>
    </row>
    <row r="73" spans="1:14" x14ac:dyDescent="0.25">
      <c r="A73">
        <v>72</v>
      </c>
      <c r="B73" t="s">
        <v>17</v>
      </c>
      <c r="C73" t="s">
        <v>18</v>
      </c>
      <c r="D73">
        <v>521</v>
      </c>
      <c r="E73">
        <v>9</v>
      </c>
      <c r="F73">
        <v>2902</v>
      </c>
      <c r="G73">
        <v>97</v>
      </c>
      <c r="H73">
        <v>1701</v>
      </c>
      <c r="I73">
        <v>37</v>
      </c>
      <c r="J73" t="str">
        <f>IF(Table2[[#This Row],[Age]]&lt;=24, "18 - 24", IF(Table2[[#This Row],[Age]]&lt;=34, "25 - 34", IF(Table2[[#This Row],[Age]]&lt;=44, "35 - 44", IF(Table2[[#This Row],[Age]]&lt;=54, "45 - 54", "55 - 59"))))</f>
        <v>35 - 44</v>
      </c>
      <c r="K73" t="str">
        <f>IF(Table2[[#This Row],[Age]]&lt;=24, "Young Adults", IF(Table2[[#This Row],[Age]]&lt;=34, "Early Career", IF(Table2[[#This Row],[Age]]&lt;=44, "Mid Career", IF(Table2[[#This Row],[Age]]&lt;=54, "Mature Adults", "Pre-retirment"))))</f>
        <v>Mid Career</v>
      </c>
      <c r="L73" t="s">
        <v>13</v>
      </c>
      <c r="M73">
        <v>5</v>
      </c>
      <c r="N73" t="str">
        <f t="shared" si="1"/>
        <v>Heavy User</v>
      </c>
    </row>
    <row r="74" spans="1:14" x14ac:dyDescent="0.25">
      <c r="A74">
        <v>73</v>
      </c>
      <c r="B74" t="s">
        <v>11</v>
      </c>
      <c r="C74" t="s">
        <v>12</v>
      </c>
      <c r="D74">
        <v>457</v>
      </c>
      <c r="E74">
        <v>6.3</v>
      </c>
      <c r="F74">
        <v>2347</v>
      </c>
      <c r="G74">
        <v>66</v>
      </c>
      <c r="H74">
        <v>1082</v>
      </c>
      <c r="I74">
        <v>22</v>
      </c>
      <c r="J74" t="str">
        <f>IF(Table2[[#This Row],[Age]]&lt;=24, "18 - 24", IF(Table2[[#This Row],[Age]]&lt;=34, "25 - 34", IF(Table2[[#This Row],[Age]]&lt;=44, "35 - 44", IF(Table2[[#This Row],[Age]]&lt;=54, "45 - 54", "55 - 59"))))</f>
        <v>18 - 24</v>
      </c>
      <c r="K74" t="str">
        <f>IF(Table2[[#This Row],[Age]]&lt;=24, "Young Adults", IF(Table2[[#This Row],[Age]]&lt;=34, "Early Career", IF(Table2[[#This Row],[Age]]&lt;=44, "Mid Career", IF(Table2[[#This Row],[Age]]&lt;=54, "Mature Adults", "Pre-retirment"))))</f>
        <v>Young Adults</v>
      </c>
      <c r="L74" t="s">
        <v>13</v>
      </c>
      <c r="M74">
        <v>4</v>
      </c>
      <c r="N74" t="str">
        <f t="shared" si="1"/>
        <v>Heavy User</v>
      </c>
    </row>
    <row r="75" spans="1:14" x14ac:dyDescent="0.25">
      <c r="A75">
        <v>74</v>
      </c>
      <c r="B75" t="s">
        <v>16</v>
      </c>
      <c r="C75" t="s">
        <v>12</v>
      </c>
      <c r="D75">
        <v>31</v>
      </c>
      <c r="E75">
        <v>1.1000000000000001</v>
      </c>
      <c r="F75">
        <v>585</v>
      </c>
      <c r="G75">
        <v>11</v>
      </c>
      <c r="H75">
        <v>208</v>
      </c>
      <c r="I75">
        <v>50</v>
      </c>
      <c r="J75" t="str">
        <f>IF(Table2[[#This Row],[Age]]&lt;=24, "18 - 24", IF(Table2[[#This Row],[Age]]&lt;=34, "25 - 34", IF(Table2[[#This Row],[Age]]&lt;=44, "35 - 44", IF(Table2[[#This Row],[Age]]&lt;=54, "45 - 54", "55 - 59"))))</f>
        <v>45 - 54</v>
      </c>
      <c r="K75" t="str">
        <f>IF(Table2[[#This Row],[Age]]&lt;=24, "Young Adults", IF(Table2[[#This Row],[Age]]&lt;=34, "Early Career", IF(Table2[[#This Row],[Age]]&lt;=44, "Mid Career", IF(Table2[[#This Row],[Age]]&lt;=54, "Mature Adults", "Pre-retirment"))))</f>
        <v>Mature Adults</v>
      </c>
      <c r="L75" t="s">
        <v>15</v>
      </c>
      <c r="M75">
        <v>1</v>
      </c>
      <c r="N75" t="str">
        <f t="shared" si="1"/>
        <v>Light User</v>
      </c>
    </row>
    <row r="76" spans="1:14" x14ac:dyDescent="0.25">
      <c r="A76">
        <v>75</v>
      </c>
      <c r="B76" t="s">
        <v>17</v>
      </c>
      <c r="C76" t="s">
        <v>18</v>
      </c>
      <c r="D76">
        <v>47</v>
      </c>
      <c r="E76">
        <v>2</v>
      </c>
      <c r="F76">
        <v>476</v>
      </c>
      <c r="G76">
        <v>14</v>
      </c>
      <c r="H76">
        <v>125</v>
      </c>
      <c r="I76">
        <v>39</v>
      </c>
      <c r="J76" t="str">
        <f>IF(Table2[[#This Row],[Age]]&lt;=24, "18 - 24", IF(Table2[[#This Row],[Age]]&lt;=34, "25 - 34", IF(Table2[[#This Row],[Age]]&lt;=44, "35 - 44", IF(Table2[[#This Row],[Age]]&lt;=54, "45 - 54", "55 - 59"))))</f>
        <v>35 - 44</v>
      </c>
      <c r="K76" t="str">
        <f>IF(Table2[[#This Row],[Age]]&lt;=24, "Young Adults", IF(Table2[[#This Row],[Age]]&lt;=34, "Early Career", IF(Table2[[#This Row],[Age]]&lt;=44, "Mid Career", IF(Table2[[#This Row],[Age]]&lt;=54, "Mature Adults", "Pre-retirment"))))</f>
        <v>Mid Career</v>
      </c>
      <c r="L76" t="s">
        <v>13</v>
      </c>
      <c r="M76">
        <v>1</v>
      </c>
      <c r="N76" t="str">
        <f t="shared" si="1"/>
        <v>Light User</v>
      </c>
    </row>
    <row r="77" spans="1:14" x14ac:dyDescent="0.25">
      <c r="A77">
        <v>76</v>
      </c>
      <c r="B77" t="s">
        <v>16</v>
      </c>
      <c r="C77" t="s">
        <v>12</v>
      </c>
      <c r="D77">
        <v>229</v>
      </c>
      <c r="E77">
        <v>5.7</v>
      </c>
      <c r="F77">
        <v>1305</v>
      </c>
      <c r="G77">
        <v>43</v>
      </c>
      <c r="H77">
        <v>985</v>
      </c>
      <c r="I77">
        <v>23</v>
      </c>
      <c r="J77" t="str">
        <f>IF(Table2[[#This Row],[Age]]&lt;=24, "18 - 24", IF(Table2[[#This Row],[Age]]&lt;=34, "25 - 34", IF(Table2[[#This Row],[Age]]&lt;=44, "35 - 44", IF(Table2[[#This Row],[Age]]&lt;=54, "45 - 54", "55 - 59"))))</f>
        <v>18 - 24</v>
      </c>
      <c r="K77" t="str">
        <f>IF(Table2[[#This Row],[Age]]&lt;=24, "Young Adults", IF(Table2[[#This Row],[Age]]&lt;=34, "Early Career", IF(Table2[[#This Row],[Age]]&lt;=44, "Mid Career", IF(Table2[[#This Row],[Age]]&lt;=54, "Mature Adults", "Pre-retirment"))))</f>
        <v>Young Adults</v>
      </c>
      <c r="L77" t="s">
        <v>15</v>
      </c>
      <c r="M77">
        <v>3</v>
      </c>
      <c r="N77" t="str">
        <f t="shared" si="1"/>
        <v>Moderate User</v>
      </c>
    </row>
    <row r="78" spans="1:14" x14ac:dyDescent="0.25">
      <c r="A78">
        <v>77</v>
      </c>
      <c r="B78" t="s">
        <v>16</v>
      </c>
      <c r="C78" t="s">
        <v>12</v>
      </c>
      <c r="D78">
        <v>34</v>
      </c>
      <c r="E78">
        <v>2</v>
      </c>
      <c r="F78">
        <v>558</v>
      </c>
      <c r="G78">
        <v>14</v>
      </c>
      <c r="H78">
        <v>122</v>
      </c>
      <c r="I78">
        <v>54</v>
      </c>
      <c r="J78" t="str">
        <f>IF(Table2[[#This Row],[Age]]&lt;=24, "18 - 24", IF(Table2[[#This Row],[Age]]&lt;=34, "25 - 34", IF(Table2[[#This Row],[Age]]&lt;=44, "35 - 44", IF(Table2[[#This Row],[Age]]&lt;=54, "45 - 54", "55 - 59"))))</f>
        <v>45 - 54</v>
      </c>
      <c r="K78" t="str">
        <f>IF(Table2[[#This Row],[Age]]&lt;=24, "Young Adults", IF(Table2[[#This Row],[Age]]&lt;=34, "Early Career", IF(Table2[[#This Row],[Age]]&lt;=44, "Mid Career", IF(Table2[[#This Row],[Age]]&lt;=54, "Mature Adults", "Pre-retirment"))))</f>
        <v>Mature Adults</v>
      </c>
      <c r="L78" t="s">
        <v>15</v>
      </c>
      <c r="M78">
        <v>1</v>
      </c>
      <c r="N78" t="str">
        <f t="shared" si="1"/>
        <v>Light User</v>
      </c>
    </row>
    <row r="79" spans="1:14" x14ac:dyDescent="0.25">
      <c r="A79">
        <v>78</v>
      </c>
      <c r="B79" t="s">
        <v>11</v>
      </c>
      <c r="C79" t="s">
        <v>12</v>
      </c>
      <c r="D79">
        <v>173</v>
      </c>
      <c r="E79">
        <v>2.5</v>
      </c>
      <c r="F79">
        <v>678</v>
      </c>
      <c r="G79">
        <v>29</v>
      </c>
      <c r="H79">
        <v>301</v>
      </c>
      <c r="I79">
        <v>30</v>
      </c>
      <c r="J79" t="str">
        <f>IF(Table2[[#This Row],[Age]]&lt;=24, "18 - 24", IF(Table2[[#This Row],[Age]]&lt;=34, "25 - 34", IF(Table2[[#This Row],[Age]]&lt;=44, "35 - 44", IF(Table2[[#This Row],[Age]]&lt;=54, "45 - 54", "55 - 59"))))</f>
        <v>25 - 34</v>
      </c>
      <c r="K79" t="str">
        <f>IF(Table2[[#This Row],[Age]]&lt;=24, "Young Adults", IF(Table2[[#This Row],[Age]]&lt;=34, "Early Career", IF(Table2[[#This Row],[Age]]&lt;=44, "Mid Career", IF(Table2[[#This Row],[Age]]&lt;=54, "Mature Adults", "Pre-retirment"))))</f>
        <v>Early Career</v>
      </c>
      <c r="L79" t="s">
        <v>15</v>
      </c>
      <c r="M79">
        <v>2</v>
      </c>
      <c r="N79" t="str">
        <f t="shared" si="1"/>
        <v>Light User</v>
      </c>
    </row>
    <row r="80" spans="1:14" x14ac:dyDescent="0.25">
      <c r="A80">
        <v>79</v>
      </c>
      <c r="B80" t="s">
        <v>19</v>
      </c>
      <c r="C80" t="s">
        <v>12</v>
      </c>
      <c r="D80">
        <v>78</v>
      </c>
      <c r="E80">
        <v>1.8</v>
      </c>
      <c r="F80">
        <v>333</v>
      </c>
      <c r="G80">
        <v>17</v>
      </c>
      <c r="H80">
        <v>138</v>
      </c>
      <c r="I80">
        <v>51</v>
      </c>
      <c r="J80" t="str">
        <f>IF(Table2[[#This Row],[Age]]&lt;=24, "18 - 24", IF(Table2[[#This Row],[Age]]&lt;=34, "25 - 34", IF(Table2[[#This Row],[Age]]&lt;=44, "35 - 44", IF(Table2[[#This Row],[Age]]&lt;=54, "45 - 54", "55 - 59"))))</f>
        <v>45 - 54</v>
      </c>
      <c r="K80" t="str">
        <f>IF(Table2[[#This Row],[Age]]&lt;=24, "Young Adults", IF(Table2[[#This Row],[Age]]&lt;=34, "Early Career", IF(Table2[[#This Row],[Age]]&lt;=44, "Mid Career", IF(Table2[[#This Row],[Age]]&lt;=54, "Mature Adults", "Pre-retirment"))))</f>
        <v>Mature Adults</v>
      </c>
      <c r="L80" t="s">
        <v>15</v>
      </c>
      <c r="M80">
        <v>1</v>
      </c>
      <c r="N80" t="str">
        <f t="shared" si="1"/>
        <v>Light User</v>
      </c>
    </row>
    <row r="81" spans="1:14" x14ac:dyDescent="0.25">
      <c r="A81">
        <v>80</v>
      </c>
      <c r="B81" t="s">
        <v>11</v>
      </c>
      <c r="C81" t="s">
        <v>12</v>
      </c>
      <c r="D81">
        <v>230</v>
      </c>
      <c r="E81">
        <v>5.7</v>
      </c>
      <c r="F81">
        <v>1254</v>
      </c>
      <c r="G81">
        <v>52</v>
      </c>
      <c r="H81">
        <v>989</v>
      </c>
      <c r="I81">
        <v>34</v>
      </c>
      <c r="J81" t="str">
        <f>IF(Table2[[#This Row],[Age]]&lt;=24, "18 - 24", IF(Table2[[#This Row],[Age]]&lt;=34, "25 - 34", IF(Table2[[#This Row],[Age]]&lt;=44, "35 - 44", IF(Table2[[#This Row],[Age]]&lt;=54, "45 - 54", "55 - 59"))))</f>
        <v>25 - 34</v>
      </c>
      <c r="K81" t="str">
        <f>IF(Table2[[#This Row],[Age]]&lt;=24, "Young Adults", IF(Table2[[#This Row],[Age]]&lt;=34, "Early Career", IF(Table2[[#This Row],[Age]]&lt;=44, "Mid Career", IF(Table2[[#This Row],[Age]]&lt;=54, "Mature Adults", "Pre-retirment"))))</f>
        <v>Early Career</v>
      </c>
      <c r="L81" t="s">
        <v>15</v>
      </c>
      <c r="M81">
        <v>3</v>
      </c>
      <c r="N81" t="str">
        <f t="shared" si="1"/>
        <v>Moderate User</v>
      </c>
    </row>
    <row r="82" spans="1:14" x14ac:dyDescent="0.25">
      <c r="A82">
        <v>81</v>
      </c>
      <c r="B82" t="s">
        <v>14</v>
      </c>
      <c r="C82" t="s">
        <v>12</v>
      </c>
      <c r="D82">
        <v>565</v>
      </c>
      <c r="E82">
        <v>10.6</v>
      </c>
      <c r="F82">
        <v>2475</v>
      </c>
      <c r="G82">
        <v>99</v>
      </c>
      <c r="H82">
        <v>1603</v>
      </c>
      <c r="I82">
        <v>51</v>
      </c>
      <c r="J82" t="str">
        <f>IF(Table2[[#This Row],[Age]]&lt;=24, "18 - 24", IF(Table2[[#This Row],[Age]]&lt;=34, "25 - 34", IF(Table2[[#This Row],[Age]]&lt;=44, "35 - 44", IF(Table2[[#This Row],[Age]]&lt;=54, "45 - 54", "55 - 59"))))</f>
        <v>45 - 54</v>
      </c>
      <c r="K82" t="str">
        <f>IF(Table2[[#This Row],[Age]]&lt;=24, "Young Adults", IF(Table2[[#This Row],[Age]]&lt;=34, "Early Career", IF(Table2[[#This Row],[Age]]&lt;=44, "Mid Career", IF(Table2[[#This Row],[Age]]&lt;=54, "Mature Adults", "Pre-retirment"))))</f>
        <v>Mature Adults</v>
      </c>
      <c r="L82" t="s">
        <v>15</v>
      </c>
      <c r="M82">
        <v>5</v>
      </c>
      <c r="N82" t="str">
        <f t="shared" si="1"/>
        <v>Heavy User</v>
      </c>
    </row>
    <row r="83" spans="1:14" x14ac:dyDescent="0.25">
      <c r="A83">
        <v>82</v>
      </c>
      <c r="B83" t="s">
        <v>17</v>
      </c>
      <c r="C83" t="s">
        <v>18</v>
      </c>
      <c r="D83">
        <v>172</v>
      </c>
      <c r="E83">
        <v>2.8</v>
      </c>
      <c r="F83">
        <v>1035</v>
      </c>
      <c r="G83">
        <v>22</v>
      </c>
      <c r="H83">
        <v>549</v>
      </c>
      <c r="I83">
        <v>41</v>
      </c>
      <c r="J83" t="str">
        <f>IF(Table2[[#This Row],[Age]]&lt;=24, "18 - 24", IF(Table2[[#This Row],[Age]]&lt;=34, "25 - 34", IF(Table2[[#This Row],[Age]]&lt;=44, "35 - 44", IF(Table2[[#This Row],[Age]]&lt;=54, "45 - 54", "55 - 59"))))</f>
        <v>35 - 44</v>
      </c>
      <c r="K83" t="str">
        <f>IF(Table2[[#This Row],[Age]]&lt;=24, "Young Adults", IF(Table2[[#This Row],[Age]]&lt;=34, "Early Career", IF(Table2[[#This Row],[Age]]&lt;=44, "Mid Career", IF(Table2[[#This Row],[Age]]&lt;=54, "Mature Adults", "Pre-retirment"))))</f>
        <v>Mid Career</v>
      </c>
      <c r="L83" t="s">
        <v>13</v>
      </c>
      <c r="M83">
        <v>2</v>
      </c>
      <c r="N83" t="str">
        <f t="shared" si="1"/>
        <v>Light User</v>
      </c>
    </row>
    <row r="84" spans="1:14" x14ac:dyDescent="0.25">
      <c r="A84">
        <v>83</v>
      </c>
      <c r="B84" t="s">
        <v>16</v>
      </c>
      <c r="C84" t="s">
        <v>12</v>
      </c>
      <c r="D84">
        <v>330</v>
      </c>
      <c r="E84">
        <v>7.2</v>
      </c>
      <c r="F84">
        <v>2363</v>
      </c>
      <c r="G84">
        <v>77</v>
      </c>
      <c r="H84">
        <v>1133</v>
      </c>
      <c r="I84">
        <v>21</v>
      </c>
      <c r="J84" t="str">
        <f>IF(Table2[[#This Row],[Age]]&lt;=24, "18 - 24", IF(Table2[[#This Row],[Age]]&lt;=34, "25 - 34", IF(Table2[[#This Row],[Age]]&lt;=44, "35 - 44", IF(Table2[[#This Row],[Age]]&lt;=54, "45 - 54", "55 - 59"))))</f>
        <v>18 - 24</v>
      </c>
      <c r="K84" t="str">
        <f>IF(Table2[[#This Row],[Age]]&lt;=24, "Young Adults", IF(Table2[[#This Row],[Age]]&lt;=34, "Early Career", IF(Table2[[#This Row],[Age]]&lt;=44, "Mid Career", IF(Table2[[#This Row],[Age]]&lt;=54, "Mature Adults", "Pre-retirment"))))</f>
        <v>Young Adults</v>
      </c>
      <c r="L84" t="s">
        <v>15</v>
      </c>
      <c r="M84">
        <v>4</v>
      </c>
      <c r="N84" t="str">
        <f t="shared" si="1"/>
        <v>Heavy User</v>
      </c>
    </row>
    <row r="85" spans="1:14" x14ac:dyDescent="0.25">
      <c r="A85">
        <v>84</v>
      </c>
      <c r="B85" t="s">
        <v>16</v>
      </c>
      <c r="C85" t="s">
        <v>12</v>
      </c>
      <c r="D85">
        <v>39</v>
      </c>
      <c r="E85">
        <v>1.8</v>
      </c>
      <c r="F85">
        <v>368</v>
      </c>
      <c r="G85">
        <v>11</v>
      </c>
      <c r="H85">
        <v>105</v>
      </c>
      <c r="I85">
        <v>19</v>
      </c>
      <c r="J85" t="str">
        <f>IF(Table2[[#This Row],[Age]]&lt;=24, "18 - 24", IF(Table2[[#This Row],[Age]]&lt;=34, "25 - 34", IF(Table2[[#This Row],[Age]]&lt;=44, "35 - 44", IF(Table2[[#This Row],[Age]]&lt;=54, "45 - 54", "55 - 59"))))</f>
        <v>18 - 24</v>
      </c>
      <c r="K85" t="str">
        <f>IF(Table2[[#This Row],[Age]]&lt;=24, "Young Adults", IF(Table2[[#This Row],[Age]]&lt;=34, "Early Career", IF(Table2[[#This Row],[Age]]&lt;=44, "Mid Career", IF(Table2[[#This Row],[Age]]&lt;=54, "Mature Adults", "Pre-retirment"))))</f>
        <v>Young Adults</v>
      </c>
      <c r="L85" t="s">
        <v>13</v>
      </c>
      <c r="M85">
        <v>1</v>
      </c>
      <c r="N85" t="str">
        <f t="shared" si="1"/>
        <v>Light User</v>
      </c>
    </row>
    <row r="86" spans="1:14" x14ac:dyDescent="0.25">
      <c r="A86">
        <v>85</v>
      </c>
      <c r="B86" t="s">
        <v>11</v>
      </c>
      <c r="C86" t="s">
        <v>12</v>
      </c>
      <c r="D86">
        <v>223</v>
      </c>
      <c r="E86">
        <v>4.5</v>
      </c>
      <c r="F86">
        <v>1311</v>
      </c>
      <c r="G86">
        <v>56</v>
      </c>
      <c r="H86">
        <v>695</v>
      </c>
      <c r="I86">
        <v>33</v>
      </c>
      <c r="J86" t="str">
        <f>IF(Table2[[#This Row],[Age]]&lt;=24, "18 - 24", IF(Table2[[#This Row],[Age]]&lt;=34, "25 - 34", IF(Table2[[#This Row],[Age]]&lt;=44, "35 - 44", IF(Table2[[#This Row],[Age]]&lt;=54, "45 - 54", "55 - 59"))))</f>
        <v>25 - 34</v>
      </c>
      <c r="K86" t="str">
        <f>IF(Table2[[#This Row],[Age]]&lt;=24, "Young Adults", IF(Table2[[#This Row],[Age]]&lt;=34, "Early Career", IF(Table2[[#This Row],[Age]]&lt;=44, "Mid Career", IF(Table2[[#This Row],[Age]]&lt;=54, "Mature Adults", "Pre-retirment"))))</f>
        <v>Early Career</v>
      </c>
      <c r="L86" t="s">
        <v>15</v>
      </c>
      <c r="M86">
        <v>3</v>
      </c>
      <c r="N86" t="str">
        <f t="shared" si="1"/>
        <v>Moderate User</v>
      </c>
    </row>
    <row r="87" spans="1:14" x14ac:dyDescent="0.25">
      <c r="A87">
        <v>86</v>
      </c>
      <c r="B87" t="s">
        <v>11</v>
      </c>
      <c r="C87" t="s">
        <v>12</v>
      </c>
      <c r="D87">
        <v>404</v>
      </c>
      <c r="E87">
        <v>7.4</v>
      </c>
      <c r="F87">
        <v>2081</v>
      </c>
      <c r="G87">
        <v>63</v>
      </c>
      <c r="H87">
        <v>1352</v>
      </c>
      <c r="I87">
        <v>44</v>
      </c>
      <c r="J87" t="str">
        <f>IF(Table2[[#This Row],[Age]]&lt;=24, "18 - 24", IF(Table2[[#This Row],[Age]]&lt;=34, "25 - 34", IF(Table2[[#This Row],[Age]]&lt;=44, "35 - 44", IF(Table2[[#This Row],[Age]]&lt;=54, "45 - 54", "55 - 59"))))</f>
        <v>35 - 44</v>
      </c>
      <c r="K87" t="str">
        <f>IF(Table2[[#This Row],[Age]]&lt;=24, "Young Adults", IF(Table2[[#This Row],[Age]]&lt;=34, "Early Career", IF(Table2[[#This Row],[Age]]&lt;=44, "Mid Career", IF(Table2[[#This Row],[Age]]&lt;=54, "Mature Adults", "Pre-retirment"))))</f>
        <v>Mid Career</v>
      </c>
      <c r="L87" t="s">
        <v>13</v>
      </c>
      <c r="M87">
        <v>4</v>
      </c>
      <c r="N87" t="str">
        <f t="shared" si="1"/>
        <v>Heavy User</v>
      </c>
    </row>
    <row r="88" spans="1:14" x14ac:dyDescent="0.25">
      <c r="A88">
        <v>87</v>
      </c>
      <c r="B88" t="s">
        <v>19</v>
      </c>
      <c r="C88" t="s">
        <v>12</v>
      </c>
      <c r="D88">
        <v>151</v>
      </c>
      <c r="E88">
        <v>2.4</v>
      </c>
      <c r="F88">
        <v>1003</v>
      </c>
      <c r="G88">
        <v>25</v>
      </c>
      <c r="H88">
        <v>392</v>
      </c>
      <c r="I88">
        <v>39</v>
      </c>
      <c r="J88" t="str">
        <f>IF(Table2[[#This Row],[Age]]&lt;=24, "18 - 24", IF(Table2[[#This Row],[Age]]&lt;=34, "25 - 34", IF(Table2[[#This Row],[Age]]&lt;=44, "35 - 44", IF(Table2[[#This Row],[Age]]&lt;=54, "45 - 54", "55 - 59"))))</f>
        <v>35 - 44</v>
      </c>
      <c r="K88" t="str">
        <f>IF(Table2[[#This Row],[Age]]&lt;=24, "Young Adults", IF(Table2[[#This Row],[Age]]&lt;=34, "Early Career", IF(Table2[[#This Row],[Age]]&lt;=44, "Mid Career", IF(Table2[[#This Row],[Age]]&lt;=54, "Mature Adults", "Pre-retirment"))))</f>
        <v>Mid Career</v>
      </c>
      <c r="L88" t="s">
        <v>13</v>
      </c>
      <c r="M88">
        <v>2</v>
      </c>
      <c r="N88" t="str">
        <f t="shared" si="1"/>
        <v>Light User</v>
      </c>
    </row>
    <row r="89" spans="1:14" x14ac:dyDescent="0.25">
      <c r="A89">
        <v>88</v>
      </c>
      <c r="B89" t="s">
        <v>19</v>
      </c>
      <c r="C89" t="s">
        <v>12</v>
      </c>
      <c r="D89">
        <v>34</v>
      </c>
      <c r="E89">
        <v>1.5</v>
      </c>
      <c r="F89">
        <v>345</v>
      </c>
      <c r="G89">
        <v>11</v>
      </c>
      <c r="H89">
        <v>276</v>
      </c>
      <c r="I89">
        <v>44</v>
      </c>
      <c r="J89" t="str">
        <f>IF(Table2[[#This Row],[Age]]&lt;=24, "18 - 24", IF(Table2[[#This Row],[Age]]&lt;=34, "25 - 34", IF(Table2[[#This Row],[Age]]&lt;=44, "35 - 44", IF(Table2[[#This Row],[Age]]&lt;=54, "45 - 54", "55 - 59"))))</f>
        <v>35 - 44</v>
      </c>
      <c r="K89" t="str">
        <f>IF(Table2[[#This Row],[Age]]&lt;=24, "Young Adults", IF(Table2[[#This Row],[Age]]&lt;=34, "Early Career", IF(Table2[[#This Row],[Age]]&lt;=44, "Mid Career", IF(Table2[[#This Row],[Age]]&lt;=54, "Mature Adults", "Pre-retirment"))))</f>
        <v>Mid Career</v>
      </c>
      <c r="L89" t="s">
        <v>13</v>
      </c>
      <c r="M89">
        <v>1</v>
      </c>
      <c r="N89" t="str">
        <f t="shared" si="1"/>
        <v>Light User</v>
      </c>
    </row>
    <row r="90" spans="1:14" x14ac:dyDescent="0.25">
      <c r="A90">
        <v>89</v>
      </c>
      <c r="B90" t="s">
        <v>16</v>
      </c>
      <c r="C90" t="s">
        <v>12</v>
      </c>
      <c r="D90">
        <v>137</v>
      </c>
      <c r="E90">
        <v>3.3</v>
      </c>
      <c r="F90">
        <v>839</v>
      </c>
      <c r="G90">
        <v>31</v>
      </c>
      <c r="H90">
        <v>348</v>
      </c>
      <c r="I90">
        <v>34</v>
      </c>
      <c r="J90" t="str">
        <f>IF(Table2[[#This Row],[Age]]&lt;=24, "18 - 24", IF(Table2[[#This Row],[Age]]&lt;=34, "25 - 34", IF(Table2[[#This Row],[Age]]&lt;=44, "35 - 44", IF(Table2[[#This Row],[Age]]&lt;=54, "45 - 54", "55 - 59"))))</f>
        <v>25 - 34</v>
      </c>
      <c r="K90" t="str">
        <f>IF(Table2[[#This Row],[Age]]&lt;=24, "Young Adults", IF(Table2[[#This Row],[Age]]&lt;=34, "Early Career", IF(Table2[[#This Row],[Age]]&lt;=44, "Mid Career", IF(Table2[[#This Row],[Age]]&lt;=54, "Mature Adults", "Pre-retirment"))))</f>
        <v>Early Career</v>
      </c>
      <c r="L90" t="s">
        <v>15</v>
      </c>
      <c r="M90">
        <v>2</v>
      </c>
      <c r="N90" t="str">
        <f t="shared" si="1"/>
        <v>Light User</v>
      </c>
    </row>
    <row r="91" spans="1:14" x14ac:dyDescent="0.25">
      <c r="A91">
        <v>90</v>
      </c>
      <c r="B91" t="s">
        <v>19</v>
      </c>
      <c r="C91" t="s">
        <v>12</v>
      </c>
      <c r="D91">
        <v>301</v>
      </c>
      <c r="E91">
        <v>6.2</v>
      </c>
      <c r="F91">
        <v>2053</v>
      </c>
      <c r="G91">
        <v>75</v>
      </c>
      <c r="H91">
        <v>1303</v>
      </c>
      <c r="I91">
        <v>45</v>
      </c>
      <c r="J91" t="str">
        <f>IF(Table2[[#This Row],[Age]]&lt;=24, "18 - 24", IF(Table2[[#This Row],[Age]]&lt;=34, "25 - 34", IF(Table2[[#This Row],[Age]]&lt;=44, "35 - 44", IF(Table2[[#This Row],[Age]]&lt;=54, "45 - 54", "55 - 59"))))</f>
        <v>45 - 54</v>
      </c>
      <c r="K91" t="str">
        <f>IF(Table2[[#This Row],[Age]]&lt;=24, "Young Adults", IF(Table2[[#This Row],[Age]]&lt;=34, "Early Career", IF(Table2[[#This Row],[Age]]&lt;=44, "Mid Career", IF(Table2[[#This Row],[Age]]&lt;=54, "Mature Adults", "Pre-retirment"))))</f>
        <v>Mature Adults</v>
      </c>
      <c r="L91" t="s">
        <v>13</v>
      </c>
      <c r="M91">
        <v>4</v>
      </c>
      <c r="N91" t="str">
        <f t="shared" si="1"/>
        <v>Heavy User</v>
      </c>
    </row>
    <row r="92" spans="1:14" x14ac:dyDescent="0.25">
      <c r="A92">
        <v>91</v>
      </c>
      <c r="B92" t="s">
        <v>11</v>
      </c>
      <c r="C92" t="s">
        <v>12</v>
      </c>
      <c r="D92">
        <v>116</v>
      </c>
      <c r="E92">
        <v>2.1</v>
      </c>
      <c r="F92">
        <v>912</v>
      </c>
      <c r="G92">
        <v>39</v>
      </c>
      <c r="H92">
        <v>307</v>
      </c>
      <c r="I92">
        <v>40</v>
      </c>
      <c r="J92" t="str">
        <f>IF(Table2[[#This Row],[Age]]&lt;=24, "18 - 24", IF(Table2[[#This Row],[Age]]&lt;=34, "25 - 34", IF(Table2[[#This Row],[Age]]&lt;=44, "35 - 44", IF(Table2[[#This Row],[Age]]&lt;=54, "45 - 54", "55 - 59"))))</f>
        <v>35 - 44</v>
      </c>
      <c r="K92" t="str">
        <f>IF(Table2[[#This Row],[Age]]&lt;=24, "Young Adults", IF(Table2[[#This Row],[Age]]&lt;=34, "Early Career", IF(Table2[[#This Row],[Age]]&lt;=44, "Mid Career", IF(Table2[[#This Row],[Age]]&lt;=54, "Mature Adults", "Pre-retirment"))))</f>
        <v>Mid Career</v>
      </c>
      <c r="L92" t="s">
        <v>15</v>
      </c>
      <c r="M92">
        <v>2</v>
      </c>
      <c r="N92" t="str">
        <f t="shared" si="1"/>
        <v>Light User</v>
      </c>
    </row>
    <row r="93" spans="1:14" x14ac:dyDescent="0.25">
      <c r="A93">
        <v>92</v>
      </c>
      <c r="B93" t="s">
        <v>11</v>
      </c>
      <c r="C93" t="s">
        <v>12</v>
      </c>
      <c r="D93">
        <v>291</v>
      </c>
      <c r="E93">
        <v>4.0999999999999996</v>
      </c>
      <c r="F93">
        <v>1474</v>
      </c>
      <c r="G93">
        <v>46</v>
      </c>
      <c r="H93">
        <v>827</v>
      </c>
      <c r="I93">
        <v>32</v>
      </c>
      <c r="J93" t="str">
        <f>IF(Table2[[#This Row],[Age]]&lt;=24, "18 - 24", IF(Table2[[#This Row],[Age]]&lt;=34, "25 - 34", IF(Table2[[#This Row],[Age]]&lt;=44, "35 - 44", IF(Table2[[#This Row],[Age]]&lt;=54, "45 - 54", "55 - 59"))))</f>
        <v>25 - 34</v>
      </c>
      <c r="K93" t="str">
        <f>IF(Table2[[#This Row],[Age]]&lt;=24, "Young Adults", IF(Table2[[#This Row],[Age]]&lt;=34, "Early Career", IF(Table2[[#This Row],[Age]]&lt;=44, "Mid Career", IF(Table2[[#This Row],[Age]]&lt;=54, "Mature Adults", "Pre-retirment"))))</f>
        <v>Early Career</v>
      </c>
      <c r="L93" t="s">
        <v>15</v>
      </c>
      <c r="M93">
        <v>3</v>
      </c>
      <c r="N93" t="str">
        <f t="shared" si="1"/>
        <v>Moderate User</v>
      </c>
    </row>
    <row r="94" spans="1:14" x14ac:dyDescent="0.25">
      <c r="A94">
        <v>93</v>
      </c>
      <c r="B94" t="s">
        <v>17</v>
      </c>
      <c r="C94" t="s">
        <v>18</v>
      </c>
      <c r="D94">
        <v>84</v>
      </c>
      <c r="E94">
        <v>1.4</v>
      </c>
      <c r="F94">
        <v>501</v>
      </c>
      <c r="G94">
        <v>16</v>
      </c>
      <c r="H94">
        <v>284</v>
      </c>
      <c r="I94">
        <v>56</v>
      </c>
      <c r="J94" t="str">
        <f>IF(Table2[[#This Row],[Age]]&lt;=24, "18 - 24", IF(Table2[[#This Row],[Age]]&lt;=34, "25 - 34", IF(Table2[[#This Row],[Age]]&lt;=44, "35 - 44", IF(Table2[[#This Row],[Age]]&lt;=54, "45 - 54", "55 - 59"))))</f>
        <v>55 - 59</v>
      </c>
      <c r="K94" t="str">
        <f>IF(Table2[[#This Row],[Age]]&lt;=24, "Young Adults", IF(Table2[[#This Row],[Age]]&lt;=34, "Early Career", IF(Table2[[#This Row],[Age]]&lt;=44, "Mid Career", IF(Table2[[#This Row],[Age]]&lt;=54, "Mature Adults", "Pre-retirment"))))</f>
        <v>Pre-retirment</v>
      </c>
      <c r="L94" t="s">
        <v>15</v>
      </c>
      <c r="M94">
        <v>1</v>
      </c>
      <c r="N94" t="str">
        <f t="shared" si="1"/>
        <v>Light User</v>
      </c>
    </row>
    <row r="95" spans="1:14" x14ac:dyDescent="0.25">
      <c r="A95">
        <v>94</v>
      </c>
      <c r="B95" t="s">
        <v>17</v>
      </c>
      <c r="C95" t="s">
        <v>18</v>
      </c>
      <c r="D95">
        <v>134</v>
      </c>
      <c r="E95">
        <v>2.5</v>
      </c>
      <c r="F95">
        <v>1125</v>
      </c>
      <c r="G95">
        <v>24</v>
      </c>
      <c r="H95">
        <v>367</v>
      </c>
      <c r="I95">
        <v>35</v>
      </c>
      <c r="J95" t="str">
        <f>IF(Table2[[#This Row],[Age]]&lt;=24, "18 - 24", IF(Table2[[#This Row],[Age]]&lt;=34, "25 - 34", IF(Table2[[#This Row],[Age]]&lt;=44, "35 - 44", IF(Table2[[#This Row],[Age]]&lt;=54, "45 - 54", "55 - 59"))))</f>
        <v>35 - 44</v>
      </c>
      <c r="K95" t="str">
        <f>IF(Table2[[#This Row],[Age]]&lt;=24, "Young Adults", IF(Table2[[#This Row],[Age]]&lt;=34, "Early Career", IF(Table2[[#This Row],[Age]]&lt;=44, "Mid Career", IF(Table2[[#This Row],[Age]]&lt;=54, "Mature Adults", "Pre-retirment"))))</f>
        <v>Mid Career</v>
      </c>
      <c r="L95" t="s">
        <v>13</v>
      </c>
      <c r="M95">
        <v>2</v>
      </c>
      <c r="N95" t="str">
        <f t="shared" si="1"/>
        <v>Light User</v>
      </c>
    </row>
    <row r="96" spans="1:14" x14ac:dyDescent="0.25">
      <c r="A96">
        <v>95</v>
      </c>
      <c r="B96" t="s">
        <v>19</v>
      </c>
      <c r="C96" t="s">
        <v>12</v>
      </c>
      <c r="D96">
        <v>411</v>
      </c>
      <c r="E96">
        <v>7.5</v>
      </c>
      <c r="F96">
        <v>2169</v>
      </c>
      <c r="G96">
        <v>72</v>
      </c>
      <c r="H96">
        <v>1083</v>
      </c>
      <c r="I96">
        <v>58</v>
      </c>
      <c r="J96" t="str">
        <f>IF(Table2[[#This Row],[Age]]&lt;=24, "18 - 24", IF(Table2[[#This Row],[Age]]&lt;=34, "25 - 34", IF(Table2[[#This Row],[Age]]&lt;=44, "35 - 44", IF(Table2[[#This Row],[Age]]&lt;=54, "45 - 54", "55 - 59"))))</f>
        <v>55 - 59</v>
      </c>
      <c r="K96" t="str">
        <f>IF(Table2[[#This Row],[Age]]&lt;=24, "Young Adults", IF(Table2[[#This Row],[Age]]&lt;=34, "Early Career", IF(Table2[[#This Row],[Age]]&lt;=44, "Mid Career", IF(Table2[[#This Row],[Age]]&lt;=54, "Mature Adults", "Pre-retirment"))))</f>
        <v>Pre-retirment</v>
      </c>
      <c r="L96" t="s">
        <v>13</v>
      </c>
      <c r="M96">
        <v>4</v>
      </c>
      <c r="N96" t="str">
        <f t="shared" si="1"/>
        <v>Heavy User</v>
      </c>
    </row>
    <row r="97" spans="1:14" x14ac:dyDescent="0.25">
      <c r="A97">
        <v>96</v>
      </c>
      <c r="B97" t="s">
        <v>16</v>
      </c>
      <c r="C97" t="s">
        <v>12</v>
      </c>
      <c r="D97">
        <v>326</v>
      </c>
      <c r="E97">
        <v>7.2</v>
      </c>
      <c r="F97">
        <v>2243</v>
      </c>
      <c r="G97">
        <v>73</v>
      </c>
      <c r="H97">
        <v>1454</v>
      </c>
      <c r="I97">
        <v>50</v>
      </c>
      <c r="J97" t="str">
        <f>IF(Table2[[#This Row],[Age]]&lt;=24, "18 - 24", IF(Table2[[#This Row],[Age]]&lt;=34, "25 - 34", IF(Table2[[#This Row],[Age]]&lt;=44, "35 - 44", IF(Table2[[#This Row],[Age]]&lt;=54, "45 - 54", "55 - 59"))))</f>
        <v>45 - 54</v>
      </c>
      <c r="K97" t="str">
        <f>IF(Table2[[#This Row],[Age]]&lt;=24, "Young Adults", IF(Table2[[#This Row],[Age]]&lt;=34, "Early Career", IF(Table2[[#This Row],[Age]]&lt;=44, "Mid Career", IF(Table2[[#This Row],[Age]]&lt;=54, "Mature Adults", "Pre-retirment"))))</f>
        <v>Mature Adults</v>
      </c>
      <c r="L97" t="s">
        <v>13</v>
      </c>
      <c r="M97">
        <v>4</v>
      </c>
      <c r="N97" t="str">
        <f t="shared" si="1"/>
        <v>Heavy User</v>
      </c>
    </row>
    <row r="98" spans="1:14" x14ac:dyDescent="0.25">
      <c r="A98">
        <v>97</v>
      </c>
      <c r="B98" t="s">
        <v>17</v>
      </c>
      <c r="C98" t="s">
        <v>18</v>
      </c>
      <c r="D98">
        <v>550</v>
      </c>
      <c r="E98">
        <v>9.5</v>
      </c>
      <c r="F98">
        <v>2916</v>
      </c>
      <c r="G98">
        <v>91</v>
      </c>
      <c r="H98">
        <v>1946</v>
      </c>
      <c r="I98">
        <v>20</v>
      </c>
      <c r="J98" t="str">
        <f>IF(Table2[[#This Row],[Age]]&lt;=24, "18 - 24", IF(Table2[[#This Row],[Age]]&lt;=34, "25 - 34", IF(Table2[[#This Row],[Age]]&lt;=44, "35 - 44", IF(Table2[[#This Row],[Age]]&lt;=54, "45 - 54", "55 - 59"))))</f>
        <v>18 - 24</v>
      </c>
      <c r="K98" t="str">
        <f>IF(Table2[[#This Row],[Age]]&lt;=24, "Young Adults", IF(Table2[[#This Row],[Age]]&lt;=34, "Early Career", IF(Table2[[#This Row],[Age]]&lt;=44, "Mid Career", IF(Table2[[#This Row],[Age]]&lt;=54, "Mature Adults", "Pre-retirment"))))</f>
        <v>Young Adults</v>
      </c>
      <c r="L98" t="s">
        <v>13</v>
      </c>
      <c r="M98">
        <v>5</v>
      </c>
      <c r="N98" t="str">
        <f t="shared" si="1"/>
        <v>Heavy User</v>
      </c>
    </row>
    <row r="99" spans="1:14" x14ac:dyDescent="0.25">
      <c r="A99">
        <v>98</v>
      </c>
      <c r="B99" t="s">
        <v>14</v>
      </c>
      <c r="C99" t="s">
        <v>12</v>
      </c>
      <c r="D99">
        <v>516</v>
      </c>
      <c r="E99">
        <v>12</v>
      </c>
      <c r="F99">
        <v>2406</v>
      </c>
      <c r="G99">
        <v>82</v>
      </c>
      <c r="H99">
        <v>1968</v>
      </c>
      <c r="I99">
        <v>28</v>
      </c>
      <c r="J99" t="str">
        <f>IF(Table2[[#This Row],[Age]]&lt;=24, "18 - 24", IF(Table2[[#This Row],[Age]]&lt;=34, "25 - 34", IF(Table2[[#This Row],[Age]]&lt;=44, "35 - 44", IF(Table2[[#This Row],[Age]]&lt;=54, "45 - 54", "55 - 59"))))</f>
        <v>25 - 34</v>
      </c>
      <c r="K99" t="str">
        <f>IF(Table2[[#This Row],[Age]]&lt;=24, "Young Adults", IF(Table2[[#This Row],[Age]]&lt;=34, "Early Career", IF(Table2[[#This Row],[Age]]&lt;=44, "Mid Career", IF(Table2[[#This Row],[Age]]&lt;=54, "Mature Adults", "Pre-retirment"))))</f>
        <v>Early Career</v>
      </c>
      <c r="L99" t="s">
        <v>15</v>
      </c>
      <c r="M99">
        <v>5</v>
      </c>
      <c r="N99" t="str">
        <f t="shared" si="1"/>
        <v>Heavy User</v>
      </c>
    </row>
    <row r="100" spans="1:14" x14ac:dyDescent="0.25">
      <c r="A100">
        <v>99</v>
      </c>
      <c r="B100" t="s">
        <v>11</v>
      </c>
      <c r="C100" t="s">
        <v>12</v>
      </c>
      <c r="D100">
        <v>59</v>
      </c>
      <c r="E100">
        <v>1.2</v>
      </c>
      <c r="F100">
        <v>361</v>
      </c>
      <c r="G100">
        <v>18</v>
      </c>
      <c r="H100">
        <v>293</v>
      </c>
      <c r="I100">
        <v>25</v>
      </c>
      <c r="J100" t="str">
        <f>IF(Table2[[#This Row],[Age]]&lt;=24, "18 - 24", IF(Table2[[#This Row],[Age]]&lt;=34, "25 - 34", IF(Table2[[#This Row],[Age]]&lt;=44, "35 - 44", IF(Table2[[#This Row],[Age]]&lt;=54, "45 - 54", "55 - 59"))))</f>
        <v>25 - 34</v>
      </c>
      <c r="K100" t="str">
        <f>IF(Table2[[#This Row],[Age]]&lt;=24, "Young Adults", IF(Table2[[#This Row],[Age]]&lt;=34, "Early Career", IF(Table2[[#This Row],[Age]]&lt;=44, "Mid Career", IF(Table2[[#This Row],[Age]]&lt;=54, "Mature Adults", "Pre-retirment"))))</f>
        <v>Early Career</v>
      </c>
      <c r="L100" t="s">
        <v>15</v>
      </c>
      <c r="M100">
        <v>1</v>
      </c>
      <c r="N100" t="str">
        <f t="shared" si="1"/>
        <v>Light User</v>
      </c>
    </row>
    <row r="101" spans="1:14" x14ac:dyDescent="0.25">
      <c r="A101">
        <v>100</v>
      </c>
      <c r="B101" t="s">
        <v>14</v>
      </c>
      <c r="C101" t="s">
        <v>12</v>
      </c>
      <c r="D101">
        <v>225</v>
      </c>
      <c r="E101">
        <v>5.5</v>
      </c>
      <c r="F101">
        <v>1526</v>
      </c>
      <c r="G101">
        <v>44</v>
      </c>
      <c r="H101">
        <v>875</v>
      </c>
      <c r="I101">
        <v>50</v>
      </c>
      <c r="J101" t="str">
        <f>IF(Table2[[#This Row],[Age]]&lt;=24, "18 - 24", IF(Table2[[#This Row],[Age]]&lt;=34, "25 - 34", IF(Table2[[#This Row],[Age]]&lt;=44, "35 - 44", IF(Table2[[#This Row],[Age]]&lt;=54, "45 - 54", "55 - 59"))))</f>
        <v>45 - 54</v>
      </c>
      <c r="K101" t="str">
        <f>IF(Table2[[#This Row],[Age]]&lt;=24, "Young Adults", IF(Table2[[#This Row],[Age]]&lt;=34, "Early Career", IF(Table2[[#This Row],[Age]]&lt;=44, "Mid Career", IF(Table2[[#This Row],[Age]]&lt;=54, "Mature Adults", "Pre-retirment"))))</f>
        <v>Mature Adults</v>
      </c>
      <c r="L101" t="s">
        <v>15</v>
      </c>
      <c r="M101">
        <v>3</v>
      </c>
      <c r="N101" t="str">
        <f t="shared" si="1"/>
        <v>Moderate User</v>
      </c>
    </row>
    <row r="102" spans="1:14" x14ac:dyDescent="0.25">
      <c r="A102">
        <v>101</v>
      </c>
      <c r="B102" t="s">
        <v>11</v>
      </c>
      <c r="C102" t="s">
        <v>12</v>
      </c>
      <c r="D102">
        <v>41</v>
      </c>
      <c r="E102">
        <v>1.1000000000000001</v>
      </c>
      <c r="F102">
        <v>389</v>
      </c>
      <c r="G102">
        <v>15</v>
      </c>
      <c r="H102">
        <v>136</v>
      </c>
      <c r="I102">
        <v>53</v>
      </c>
      <c r="J102" t="str">
        <f>IF(Table2[[#This Row],[Age]]&lt;=24, "18 - 24", IF(Table2[[#This Row],[Age]]&lt;=34, "25 - 34", IF(Table2[[#This Row],[Age]]&lt;=44, "35 - 44", IF(Table2[[#This Row],[Age]]&lt;=54, "45 - 54", "55 - 59"))))</f>
        <v>45 - 54</v>
      </c>
      <c r="K102" t="str">
        <f>IF(Table2[[#This Row],[Age]]&lt;=24, "Young Adults", IF(Table2[[#This Row],[Age]]&lt;=34, "Early Career", IF(Table2[[#This Row],[Age]]&lt;=44, "Mid Career", IF(Table2[[#This Row],[Age]]&lt;=54, "Mature Adults", "Pre-retirment"))))</f>
        <v>Mature Adults</v>
      </c>
      <c r="L102" t="s">
        <v>13</v>
      </c>
      <c r="M102">
        <v>1</v>
      </c>
      <c r="N102" t="str">
        <f t="shared" si="1"/>
        <v>Light User</v>
      </c>
    </row>
    <row r="103" spans="1:14" x14ac:dyDescent="0.25">
      <c r="A103">
        <v>102</v>
      </c>
      <c r="B103" t="s">
        <v>14</v>
      </c>
      <c r="C103" t="s">
        <v>12</v>
      </c>
      <c r="D103">
        <v>183</v>
      </c>
      <c r="E103">
        <v>4.0999999999999996</v>
      </c>
      <c r="F103">
        <v>1210</v>
      </c>
      <c r="G103">
        <v>45</v>
      </c>
      <c r="H103">
        <v>738</v>
      </c>
      <c r="I103">
        <v>19</v>
      </c>
      <c r="J103" t="str">
        <f>IF(Table2[[#This Row],[Age]]&lt;=24, "18 - 24", IF(Table2[[#This Row],[Age]]&lt;=34, "25 - 34", IF(Table2[[#This Row],[Age]]&lt;=44, "35 - 44", IF(Table2[[#This Row],[Age]]&lt;=54, "45 - 54", "55 - 59"))))</f>
        <v>18 - 24</v>
      </c>
      <c r="K103" t="str">
        <f>IF(Table2[[#This Row],[Age]]&lt;=24, "Young Adults", IF(Table2[[#This Row],[Age]]&lt;=34, "Early Career", IF(Table2[[#This Row],[Age]]&lt;=44, "Mid Career", IF(Table2[[#This Row],[Age]]&lt;=54, "Mature Adults", "Pre-retirment"))))</f>
        <v>Young Adults</v>
      </c>
      <c r="L103" t="s">
        <v>13</v>
      </c>
      <c r="M103">
        <v>3</v>
      </c>
      <c r="N103" t="str">
        <f t="shared" si="1"/>
        <v>Moderate User</v>
      </c>
    </row>
    <row r="104" spans="1:14" x14ac:dyDescent="0.25">
      <c r="A104">
        <v>103</v>
      </c>
      <c r="B104" t="s">
        <v>11</v>
      </c>
      <c r="C104" t="s">
        <v>12</v>
      </c>
      <c r="D104">
        <v>174</v>
      </c>
      <c r="E104">
        <v>2.5</v>
      </c>
      <c r="F104">
        <v>929</v>
      </c>
      <c r="G104">
        <v>37</v>
      </c>
      <c r="H104">
        <v>565</v>
      </c>
      <c r="I104">
        <v>32</v>
      </c>
      <c r="J104" t="str">
        <f>IF(Table2[[#This Row],[Age]]&lt;=24, "18 - 24", IF(Table2[[#This Row],[Age]]&lt;=34, "25 - 34", IF(Table2[[#This Row],[Age]]&lt;=44, "35 - 44", IF(Table2[[#This Row],[Age]]&lt;=54, "45 - 54", "55 - 59"))))</f>
        <v>25 - 34</v>
      </c>
      <c r="K104" t="str">
        <f>IF(Table2[[#This Row],[Age]]&lt;=24, "Young Adults", IF(Table2[[#This Row],[Age]]&lt;=34, "Early Career", IF(Table2[[#This Row],[Age]]&lt;=44, "Mid Career", IF(Table2[[#This Row],[Age]]&lt;=54, "Mature Adults", "Pre-retirment"))))</f>
        <v>Early Career</v>
      </c>
      <c r="L104" t="s">
        <v>15</v>
      </c>
      <c r="M104">
        <v>2</v>
      </c>
      <c r="N104" t="str">
        <f t="shared" si="1"/>
        <v>Light User</v>
      </c>
    </row>
    <row r="105" spans="1:14" x14ac:dyDescent="0.25">
      <c r="A105">
        <v>104</v>
      </c>
      <c r="B105" t="s">
        <v>16</v>
      </c>
      <c r="C105" t="s">
        <v>12</v>
      </c>
      <c r="D105">
        <v>274</v>
      </c>
      <c r="E105">
        <v>4.2</v>
      </c>
      <c r="F105">
        <v>1781</v>
      </c>
      <c r="G105">
        <v>52</v>
      </c>
      <c r="H105">
        <v>934</v>
      </c>
      <c r="I105">
        <v>28</v>
      </c>
      <c r="J105" t="str">
        <f>IF(Table2[[#This Row],[Age]]&lt;=24, "18 - 24", IF(Table2[[#This Row],[Age]]&lt;=34, "25 - 34", IF(Table2[[#This Row],[Age]]&lt;=44, "35 - 44", IF(Table2[[#This Row],[Age]]&lt;=54, "45 - 54", "55 - 59"))))</f>
        <v>25 - 34</v>
      </c>
      <c r="K105" t="str">
        <f>IF(Table2[[#This Row],[Age]]&lt;=24, "Young Adults", IF(Table2[[#This Row],[Age]]&lt;=34, "Early Career", IF(Table2[[#This Row],[Age]]&lt;=44, "Mid Career", IF(Table2[[#This Row],[Age]]&lt;=54, "Mature Adults", "Pre-retirment"))))</f>
        <v>Early Career</v>
      </c>
      <c r="L105" t="s">
        <v>13</v>
      </c>
      <c r="M105">
        <v>3</v>
      </c>
      <c r="N105" t="str">
        <f t="shared" si="1"/>
        <v>Moderate User</v>
      </c>
    </row>
    <row r="106" spans="1:14" x14ac:dyDescent="0.25">
      <c r="A106">
        <v>105</v>
      </c>
      <c r="B106" t="s">
        <v>16</v>
      </c>
      <c r="C106" t="s">
        <v>12</v>
      </c>
      <c r="D106">
        <v>166</v>
      </c>
      <c r="E106">
        <v>2.8</v>
      </c>
      <c r="F106">
        <v>1113</v>
      </c>
      <c r="G106">
        <v>28</v>
      </c>
      <c r="H106">
        <v>360</v>
      </c>
      <c r="I106">
        <v>25</v>
      </c>
      <c r="J106" t="str">
        <f>IF(Table2[[#This Row],[Age]]&lt;=24, "18 - 24", IF(Table2[[#This Row],[Age]]&lt;=34, "25 - 34", IF(Table2[[#This Row],[Age]]&lt;=44, "35 - 44", IF(Table2[[#This Row],[Age]]&lt;=54, "45 - 54", "55 - 59"))))</f>
        <v>25 - 34</v>
      </c>
      <c r="K106" t="str">
        <f>IF(Table2[[#This Row],[Age]]&lt;=24, "Young Adults", IF(Table2[[#This Row],[Age]]&lt;=34, "Early Career", IF(Table2[[#This Row],[Age]]&lt;=44, "Mid Career", IF(Table2[[#This Row],[Age]]&lt;=54, "Mature Adults", "Pre-retirment"))))</f>
        <v>Early Career</v>
      </c>
      <c r="L106" t="s">
        <v>13</v>
      </c>
      <c r="M106">
        <v>2</v>
      </c>
      <c r="N106" t="str">
        <f t="shared" si="1"/>
        <v>Light User</v>
      </c>
    </row>
    <row r="107" spans="1:14" x14ac:dyDescent="0.25">
      <c r="A107">
        <v>106</v>
      </c>
      <c r="B107" t="s">
        <v>16</v>
      </c>
      <c r="C107" t="s">
        <v>12</v>
      </c>
      <c r="D107">
        <v>66</v>
      </c>
      <c r="E107">
        <v>1.2</v>
      </c>
      <c r="F107">
        <v>585</v>
      </c>
      <c r="G107">
        <v>12</v>
      </c>
      <c r="H107">
        <v>264</v>
      </c>
      <c r="I107">
        <v>36</v>
      </c>
      <c r="J107" t="str">
        <f>IF(Table2[[#This Row],[Age]]&lt;=24, "18 - 24", IF(Table2[[#This Row],[Age]]&lt;=34, "25 - 34", IF(Table2[[#This Row],[Age]]&lt;=44, "35 - 44", IF(Table2[[#This Row],[Age]]&lt;=54, "45 - 54", "55 - 59"))))</f>
        <v>35 - 44</v>
      </c>
      <c r="K107" t="str">
        <f>IF(Table2[[#This Row],[Age]]&lt;=24, "Young Adults", IF(Table2[[#This Row],[Age]]&lt;=34, "Early Career", IF(Table2[[#This Row],[Age]]&lt;=44, "Mid Career", IF(Table2[[#This Row],[Age]]&lt;=54, "Mature Adults", "Pre-retirment"))))</f>
        <v>Mid Career</v>
      </c>
      <c r="L107" t="s">
        <v>13</v>
      </c>
      <c r="M107">
        <v>1</v>
      </c>
      <c r="N107" t="str">
        <f t="shared" si="1"/>
        <v>Light User</v>
      </c>
    </row>
    <row r="108" spans="1:14" x14ac:dyDescent="0.25">
      <c r="A108">
        <v>107</v>
      </c>
      <c r="B108" t="s">
        <v>11</v>
      </c>
      <c r="C108" t="s">
        <v>12</v>
      </c>
      <c r="D108">
        <v>152</v>
      </c>
      <c r="E108">
        <v>2.7</v>
      </c>
      <c r="F108">
        <v>642</v>
      </c>
      <c r="G108">
        <v>38</v>
      </c>
      <c r="H108">
        <v>596</v>
      </c>
      <c r="I108">
        <v>55</v>
      </c>
      <c r="J108" t="str">
        <f>IF(Table2[[#This Row],[Age]]&lt;=24, "18 - 24", IF(Table2[[#This Row],[Age]]&lt;=34, "25 - 34", IF(Table2[[#This Row],[Age]]&lt;=44, "35 - 44", IF(Table2[[#This Row],[Age]]&lt;=54, "45 - 54", "55 - 59"))))</f>
        <v>55 - 59</v>
      </c>
      <c r="K108" t="str">
        <f>IF(Table2[[#This Row],[Age]]&lt;=24, "Young Adults", IF(Table2[[#This Row],[Age]]&lt;=34, "Early Career", IF(Table2[[#This Row],[Age]]&lt;=44, "Mid Career", IF(Table2[[#This Row],[Age]]&lt;=54, "Mature Adults", "Pre-retirment"))))</f>
        <v>Pre-retirment</v>
      </c>
      <c r="L108" t="s">
        <v>13</v>
      </c>
      <c r="M108">
        <v>2</v>
      </c>
      <c r="N108" t="str">
        <f t="shared" si="1"/>
        <v>Light User</v>
      </c>
    </row>
    <row r="109" spans="1:14" x14ac:dyDescent="0.25">
      <c r="A109">
        <v>108</v>
      </c>
      <c r="B109" t="s">
        <v>11</v>
      </c>
      <c r="C109" t="s">
        <v>12</v>
      </c>
      <c r="D109">
        <v>54</v>
      </c>
      <c r="E109">
        <v>1.4</v>
      </c>
      <c r="F109">
        <v>403</v>
      </c>
      <c r="G109">
        <v>17</v>
      </c>
      <c r="H109">
        <v>278</v>
      </c>
      <c r="I109">
        <v>23</v>
      </c>
      <c r="J109" t="str">
        <f>IF(Table2[[#This Row],[Age]]&lt;=24, "18 - 24", IF(Table2[[#This Row],[Age]]&lt;=34, "25 - 34", IF(Table2[[#This Row],[Age]]&lt;=44, "35 - 44", IF(Table2[[#This Row],[Age]]&lt;=54, "45 - 54", "55 - 59"))))</f>
        <v>18 - 24</v>
      </c>
      <c r="K109" t="str">
        <f>IF(Table2[[#This Row],[Age]]&lt;=24, "Young Adults", IF(Table2[[#This Row],[Age]]&lt;=34, "Early Career", IF(Table2[[#This Row],[Age]]&lt;=44, "Mid Career", IF(Table2[[#This Row],[Age]]&lt;=54, "Mature Adults", "Pre-retirment"))))</f>
        <v>Young Adults</v>
      </c>
      <c r="L109" t="s">
        <v>15</v>
      </c>
      <c r="M109">
        <v>1</v>
      </c>
      <c r="N109" t="str">
        <f t="shared" si="1"/>
        <v>Light User</v>
      </c>
    </row>
    <row r="110" spans="1:14" x14ac:dyDescent="0.25">
      <c r="A110">
        <v>109</v>
      </c>
      <c r="B110" t="s">
        <v>16</v>
      </c>
      <c r="C110" t="s">
        <v>12</v>
      </c>
      <c r="D110">
        <v>187</v>
      </c>
      <c r="E110">
        <v>5.5</v>
      </c>
      <c r="F110">
        <v>1754</v>
      </c>
      <c r="G110">
        <v>55</v>
      </c>
      <c r="H110">
        <v>711</v>
      </c>
      <c r="I110">
        <v>50</v>
      </c>
      <c r="J110" t="str">
        <f>IF(Table2[[#This Row],[Age]]&lt;=24, "18 - 24", IF(Table2[[#This Row],[Age]]&lt;=34, "25 - 34", IF(Table2[[#This Row],[Age]]&lt;=44, "35 - 44", IF(Table2[[#This Row],[Age]]&lt;=54, "45 - 54", "55 - 59"))))</f>
        <v>45 - 54</v>
      </c>
      <c r="K110" t="str">
        <f>IF(Table2[[#This Row],[Age]]&lt;=24, "Young Adults", IF(Table2[[#This Row],[Age]]&lt;=34, "Early Career", IF(Table2[[#This Row],[Age]]&lt;=44, "Mid Career", IF(Table2[[#This Row],[Age]]&lt;=54, "Mature Adults", "Pre-retirment"))))</f>
        <v>Mature Adults</v>
      </c>
      <c r="L110" t="s">
        <v>15</v>
      </c>
      <c r="M110">
        <v>3</v>
      </c>
      <c r="N110" t="str">
        <f t="shared" si="1"/>
        <v>Moderate User</v>
      </c>
    </row>
    <row r="111" spans="1:14" x14ac:dyDescent="0.25">
      <c r="A111">
        <v>110</v>
      </c>
      <c r="B111" t="s">
        <v>14</v>
      </c>
      <c r="C111" t="s">
        <v>12</v>
      </c>
      <c r="D111">
        <v>216</v>
      </c>
      <c r="E111">
        <v>6</v>
      </c>
      <c r="F111">
        <v>1641</v>
      </c>
      <c r="G111">
        <v>41</v>
      </c>
      <c r="H111">
        <v>889</v>
      </c>
      <c r="I111">
        <v>39</v>
      </c>
      <c r="J111" t="str">
        <f>IF(Table2[[#This Row],[Age]]&lt;=24, "18 - 24", IF(Table2[[#This Row],[Age]]&lt;=34, "25 - 34", IF(Table2[[#This Row],[Age]]&lt;=44, "35 - 44", IF(Table2[[#This Row],[Age]]&lt;=54, "45 - 54", "55 - 59"))))</f>
        <v>35 - 44</v>
      </c>
      <c r="K111" t="str">
        <f>IF(Table2[[#This Row],[Age]]&lt;=24, "Young Adults", IF(Table2[[#This Row],[Age]]&lt;=34, "Early Career", IF(Table2[[#This Row],[Age]]&lt;=44, "Mid Career", IF(Table2[[#This Row],[Age]]&lt;=54, "Mature Adults", "Pre-retirment"))))</f>
        <v>Mid Career</v>
      </c>
      <c r="L111" t="s">
        <v>15</v>
      </c>
      <c r="M111">
        <v>3</v>
      </c>
      <c r="N111" t="str">
        <f t="shared" si="1"/>
        <v>Moderate User</v>
      </c>
    </row>
    <row r="112" spans="1:14" x14ac:dyDescent="0.25">
      <c r="A112">
        <v>111</v>
      </c>
      <c r="B112" t="s">
        <v>14</v>
      </c>
      <c r="C112" t="s">
        <v>12</v>
      </c>
      <c r="D112">
        <v>95</v>
      </c>
      <c r="E112">
        <v>3.8</v>
      </c>
      <c r="F112">
        <v>718</v>
      </c>
      <c r="G112">
        <v>26</v>
      </c>
      <c r="H112">
        <v>459</v>
      </c>
      <c r="I112">
        <v>41</v>
      </c>
      <c r="J112" t="str">
        <f>IF(Table2[[#This Row],[Age]]&lt;=24, "18 - 24", IF(Table2[[#This Row],[Age]]&lt;=34, "25 - 34", IF(Table2[[#This Row],[Age]]&lt;=44, "35 - 44", IF(Table2[[#This Row],[Age]]&lt;=54, "45 - 54", "55 - 59"))))</f>
        <v>35 - 44</v>
      </c>
      <c r="K112" t="str">
        <f>IF(Table2[[#This Row],[Age]]&lt;=24, "Young Adults", IF(Table2[[#This Row],[Age]]&lt;=34, "Early Career", IF(Table2[[#This Row],[Age]]&lt;=44, "Mid Career", IF(Table2[[#This Row],[Age]]&lt;=54, "Mature Adults", "Pre-retirment"))))</f>
        <v>Mid Career</v>
      </c>
      <c r="L112" t="s">
        <v>15</v>
      </c>
      <c r="M112">
        <v>2</v>
      </c>
      <c r="N112" t="str">
        <f t="shared" si="1"/>
        <v>Light User</v>
      </c>
    </row>
    <row r="113" spans="1:14" x14ac:dyDescent="0.25">
      <c r="A113">
        <v>112</v>
      </c>
      <c r="B113" t="s">
        <v>16</v>
      </c>
      <c r="C113" t="s">
        <v>12</v>
      </c>
      <c r="D113">
        <v>488</v>
      </c>
      <c r="E113">
        <v>8.6</v>
      </c>
      <c r="F113">
        <v>2447</v>
      </c>
      <c r="G113">
        <v>84</v>
      </c>
      <c r="H113">
        <v>2344</v>
      </c>
      <c r="I113">
        <v>19</v>
      </c>
      <c r="J113" t="str">
        <f>IF(Table2[[#This Row],[Age]]&lt;=24, "18 - 24", IF(Table2[[#This Row],[Age]]&lt;=34, "25 - 34", IF(Table2[[#This Row],[Age]]&lt;=44, "35 - 44", IF(Table2[[#This Row],[Age]]&lt;=54, "45 - 54", "55 - 59"))))</f>
        <v>18 - 24</v>
      </c>
      <c r="K113" t="str">
        <f>IF(Table2[[#This Row],[Age]]&lt;=24, "Young Adults", IF(Table2[[#This Row],[Age]]&lt;=34, "Early Career", IF(Table2[[#This Row],[Age]]&lt;=44, "Mid Career", IF(Table2[[#This Row],[Age]]&lt;=54, "Mature Adults", "Pre-retirment"))))</f>
        <v>Young Adults</v>
      </c>
      <c r="L113" t="s">
        <v>13</v>
      </c>
      <c r="M113">
        <v>5</v>
      </c>
      <c r="N113" t="str">
        <f t="shared" si="1"/>
        <v>Heavy User</v>
      </c>
    </row>
    <row r="114" spans="1:14" x14ac:dyDescent="0.25">
      <c r="A114">
        <v>113</v>
      </c>
      <c r="B114" t="s">
        <v>11</v>
      </c>
      <c r="C114" t="s">
        <v>12</v>
      </c>
      <c r="D114">
        <v>295</v>
      </c>
      <c r="E114">
        <v>5.0999999999999996</v>
      </c>
      <c r="F114">
        <v>1483</v>
      </c>
      <c r="G114">
        <v>45</v>
      </c>
      <c r="H114">
        <v>748</v>
      </c>
      <c r="I114">
        <v>27</v>
      </c>
      <c r="J114" t="str">
        <f>IF(Table2[[#This Row],[Age]]&lt;=24, "18 - 24", IF(Table2[[#This Row],[Age]]&lt;=34, "25 - 34", IF(Table2[[#This Row],[Age]]&lt;=44, "35 - 44", IF(Table2[[#This Row],[Age]]&lt;=54, "45 - 54", "55 - 59"))))</f>
        <v>25 - 34</v>
      </c>
      <c r="K114" t="str">
        <f>IF(Table2[[#This Row],[Age]]&lt;=24, "Young Adults", IF(Table2[[#This Row],[Age]]&lt;=34, "Early Career", IF(Table2[[#This Row],[Age]]&lt;=44, "Mid Career", IF(Table2[[#This Row],[Age]]&lt;=54, "Mature Adults", "Pre-retirment"))))</f>
        <v>Early Career</v>
      </c>
      <c r="L114" t="s">
        <v>15</v>
      </c>
      <c r="M114">
        <v>3</v>
      </c>
      <c r="N114" t="str">
        <f t="shared" si="1"/>
        <v>Moderate User</v>
      </c>
    </row>
    <row r="115" spans="1:14" x14ac:dyDescent="0.25">
      <c r="A115">
        <v>114</v>
      </c>
      <c r="B115" t="s">
        <v>19</v>
      </c>
      <c r="C115" t="s">
        <v>12</v>
      </c>
      <c r="D115">
        <v>136</v>
      </c>
      <c r="E115">
        <v>3.2</v>
      </c>
      <c r="F115">
        <v>818</v>
      </c>
      <c r="G115">
        <v>33</v>
      </c>
      <c r="H115">
        <v>404</v>
      </c>
      <c r="I115">
        <v>42</v>
      </c>
      <c r="J115" t="str">
        <f>IF(Table2[[#This Row],[Age]]&lt;=24, "18 - 24", IF(Table2[[#This Row],[Age]]&lt;=34, "25 - 34", IF(Table2[[#This Row],[Age]]&lt;=44, "35 - 44", IF(Table2[[#This Row],[Age]]&lt;=54, "45 - 54", "55 - 59"))))</f>
        <v>35 - 44</v>
      </c>
      <c r="K115" t="str">
        <f>IF(Table2[[#This Row],[Age]]&lt;=24, "Young Adults", IF(Table2[[#This Row],[Age]]&lt;=34, "Early Career", IF(Table2[[#This Row],[Age]]&lt;=44, "Mid Career", IF(Table2[[#This Row],[Age]]&lt;=54, "Mature Adults", "Pre-retirment"))))</f>
        <v>Mid Career</v>
      </c>
      <c r="L115" t="s">
        <v>13</v>
      </c>
      <c r="M115">
        <v>2</v>
      </c>
      <c r="N115" t="str">
        <f t="shared" si="1"/>
        <v>Light User</v>
      </c>
    </row>
    <row r="116" spans="1:14" x14ac:dyDescent="0.25">
      <c r="A116">
        <v>115</v>
      </c>
      <c r="B116" t="s">
        <v>16</v>
      </c>
      <c r="C116" t="s">
        <v>12</v>
      </c>
      <c r="D116">
        <v>471</v>
      </c>
      <c r="E116">
        <v>7.9</v>
      </c>
      <c r="F116">
        <v>2156</v>
      </c>
      <c r="G116">
        <v>76</v>
      </c>
      <c r="H116">
        <v>1324</v>
      </c>
      <c r="I116">
        <v>54</v>
      </c>
      <c r="J116" t="str">
        <f>IF(Table2[[#This Row],[Age]]&lt;=24, "18 - 24", IF(Table2[[#This Row],[Age]]&lt;=34, "25 - 34", IF(Table2[[#This Row],[Age]]&lt;=44, "35 - 44", IF(Table2[[#This Row],[Age]]&lt;=54, "45 - 54", "55 - 59"))))</f>
        <v>45 - 54</v>
      </c>
      <c r="K116" t="str">
        <f>IF(Table2[[#This Row],[Age]]&lt;=24, "Young Adults", IF(Table2[[#This Row],[Age]]&lt;=34, "Early Career", IF(Table2[[#This Row],[Age]]&lt;=44, "Mid Career", IF(Table2[[#This Row],[Age]]&lt;=54, "Mature Adults", "Pre-retirment"))))</f>
        <v>Mature Adults</v>
      </c>
      <c r="L116" t="s">
        <v>15</v>
      </c>
      <c r="M116">
        <v>4</v>
      </c>
      <c r="N116" t="str">
        <f t="shared" si="1"/>
        <v>Heavy User</v>
      </c>
    </row>
    <row r="117" spans="1:14" x14ac:dyDescent="0.25">
      <c r="A117">
        <v>116</v>
      </c>
      <c r="B117" t="s">
        <v>17</v>
      </c>
      <c r="C117" t="s">
        <v>18</v>
      </c>
      <c r="D117">
        <v>121</v>
      </c>
      <c r="E117">
        <v>3.2</v>
      </c>
      <c r="F117">
        <v>651</v>
      </c>
      <c r="G117">
        <v>34</v>
      </c>
      <c r="H117">
        <v>596</v>
      </c>
      <c r="I117">
        <v>39</v>
      </c>
      <c r="J117" t="str">
        <f>IF(Table2[[#This Row],[Age]]&lt;=24, "18 - 24", IF(Table2[[#This Row],[Age]]&lt;=34, "25 - 34", IF(Table2[[#This Row],[Age]]&lt;=44, "35 - 44", IF(Table2[[#This Row],[Age]]&lt;=54, "45 - 54", "55 - 59"))))</f>
        <v>35 - 44</v>
      </c>
      <c r="K117" t="str">
        <f>IF(Table2[[#This Row],[Age]]&lt;=24, "Young Adults", IF(Table2[[#This Row],[Age]]&lt;=34, "Early Career", IF(Table2[[#This Row],[Age]]&lt;=44, "Mid Career", IF(Table2[[#This Row],[Age]]&lt;=54, "Mature Adults", "Pre-retirment"))))</f>
        <v>Mid Career</v>
      </c>
      <c r="L117" t="s">
        <v>13</v>
      </c>
      <c r="M117">
        <v>2</v>
      </c>
      <c r="N117" t="str">
        <f t="shared" si="1"/>
        <v>Light User</v>
      </c>
    </row>
    <row r="118" spans="1:14" x14ac:dyDescent="0.25">
      <c r="A118">
        <v>117</v>
      </c>
      <c r="B118" t="s">
        <v>17</v>
      </c>
      <c r="C118" t="s">
        <v>18</v>
      </c>
      <c r="D118">
        <v>75</v>
      </c>
      <c r="E118">
        <v>1.2</v>
      </c>
      <c r="F118">
        <v>409</v>
      </c>
      <c r="G118">
        <v>13</v>
      </c>
      <c r="H118">
        <v>281</v>
      </c>
      <c r="I118">
        <v>18</v>
      </c>
      <c r="J118" t="str">
        <f>IF(Table2[[#This Row],[Age]]&lt;=24, "18 - 24", IF(Table2[[#This Row],[Age]]&lt;=34, "25 - 34", IF(Table2[[#This Row],[Age]]&lt;=44, "35 - 44", IF(Table2[[#This Row],[Age]]&lt;=54, "45 - 54", "55 - 59"))))</f>
        <v>18 - 24</v>
      </c>
      <c r="K118" t="str">
        <f>IF(Table2[[#This Row],[Age]]&lt;=24, "Young Adults", IF(Table2[[#This Row],[Age]]&lt;=34, "Early Career", IF(Table2[[#This Row],[Age]]&lt;=44, "Mid Career", IF(Table2[[#This Row],[Age]]&lt;=54, "Mature Adults", "Pre-retirment"))))</f>
        <v>Young Adults</v>
      </c>
      <c r="L118" t="s">
        <v>13</v>
      </c>
      <c r="M118">
        <v>1</v>
      </c>
      <c r="N118" t="str">
        <f t="shared" si="1"/>
        <v>Light User</v>
      </c>
    </row>
    <row r="119" spans="1:14" x14ac:dyDescent="0.25">
      <c r="A119">
        <v>118</v>
      </c>
      <c r="B119" t="s">
        <v>17</v>
      </c>
      <c r="C119" t="s">
        <v>18</v>
      </c>
      <c r="D119">
        <v>220</v>
      </c>
      <c r="E119">
        <v>5.2</v>
      </c>
      <c r="F119">
        <v>1631</v>
      </c>
      <c r="G119">
        <v>49</v>
      </c>
      <c r="H119">
        <v>909</v>
      </c>
      <c r="I119">
        <v>27</v>
      </c>
      <c r="J119" t="str">
        <f>IF(Table2[[#This Row],[Age]]&lt;=24, "18 - 24", IF(Table2[[#This Row],[Age]]&lt;=34, "25 - 34", IF(Table2[[#This Row],[Age]]&lt;=44, "35 - 44", IF(Table2[[#This Row],[Age]]&lt;=54, "45 - 54", "55 - 59"))))</f>
        <v>25 - 34</v>
      </c>
      <c r="K119" t="str">
        <f>IF(Table2[[#This Row],[Age]]&lt;=24, "Young Adults", IF(Table2[[#This Row],[Age]]&lt;=34, "Early Career", IF(Table2[[#This Row],[Age]]&lt;=44, "Mid Career", IF(Table2[[#This Row],[Age]]&lt;=54, "Mature Adults", "Pre-retirment"))))</f>
        <v>Early Career</v>
      </c>
      <c r="L119" t="s">
        <v>15</v>
      </c>
      <c r="M119">
        <v>3</v>
      </c>
      <c r="N119" t="str">
        <f t="shared" si="1"/>
        <v>Moderate User</v>
      </c>
    </row>
    <row r="120" spans="1:14" x14ac:dyDescent="0.25">
      <c r="A120">
        <v>119</v>
      </c>
      <c r="B120" t="s">
        <v>19</v>
      </c>
      <c r="C120" t="s">
        <v>12</v>
      </c>
      <c r="D120">
        <v>82</v>
      </c>
      <c r="E120">
        <v>1.6</v>
      </c>
      <c r="F120">
        <v>590</v>
      </c>
      <c r="G120">
        <v>13</v>
      </c>
      <c r="H120">
        <v>124</v>
      </c>
      <c r="I120">
        <v>28</v>
      </c>
      <c r="J120" t="str">
        <f>IF(Table2[[#This Row],[Age]]&lt;=24, "18 - 24", IF(Table2[[#This Row],[Age]]&lt;=34, "25 - 34", IF(Table2[[#This Row],[Age]]&lt;=44, "35 - 44", IF(Table2[[#This Row],[Age]]&lt;=54, "45 - 54", "55 - 59"))))</f>
        <v>25 - 34</v>
      </c>
      <c r="K120" t="str">
        <f>IF(Table2[[#This Row],[Age]]&lt;=24, "Young Adults", IF(Table2[[#This Row],[Age]]&lt;=34, "Early Career", IF(Table2[[#This Row],[Age]]&lt;=44, "Mid Career", IF(Table2[[#This Row],[Age]]&lt;=54, "Mature Adults", "Pre-retirment"))))</f>
        <v>Early Career</v>
      </c>
      <c r="L120" t="s">
        <v>15</v>
      </c>
      <c r="M120">
        <v>1</v>
      </c>
      <c r="N120" t="str">
        <f t="shared" si="1"/>
        <v>Light User</v>
      </c>
    </row>
    <row r="121" spans="1:14" x14ac:dyDescent="0.25">
      <c r="A121">
        <v>120</v>
      </c>
      <c r="B121" t="s">
        <v>11</v>
      </c>
      <c r="C121" t="s">
        <v>12</v>
      </c>
      <c r="D121">
        <v>97</v>
      </c>
      <c r="E121">
        <v>2.7</v>
      </c>
      <c r="F121">
        <v>1018</v>
      </c>
      <c r="G121">
        <v>37</v>
      </c>
      <c r="H121">
        <v>428</v>
      </c>
      <c r="I121">
        <v>41</v>
      </c>
      <c r="J121" t="str">
        <f>IF(Table2[[#This Row],[Age]]&lt;=24, "18 - 24", IF(Table2[[#This Row],[Age]]&lt;=34, "25 - 34", IF(Table2[[#This Row],[Age]]&lt;=44, "35 - 44", IF(Table2[[#This Row],[Age]]&lt;=54, "45 - 54", "55 - 59"))))</f>
        <v>35 - 44</v>
      </c>
      <c r="K121" t="str">
        <f>IF(Table2[[#This Row],[Age]]&lt;=24, "Young Adults", IF(Table2[[#This Row],[Age]]&lt;=34, "Early Career", IF(Table2[[#This Row],[Age]]&lt;=44, "Mid Career", IF(Table2[[#This Row],[Age]]&lt;=54, "Mature Adults", "Pre-retirment"))))</f>
        <v>Mid Career</v>
      </c>
      <c r="L121" t="s">
        <v>13</v>
      </c>
      <c r="M121">
        <v>2</v>
      </c>
      <c r="N121" t="str">
        <f t="shared" si="1"/>
        <v>Light User</v>
      </c>
    </row>
    <row r="122" spans="1:14" x14ac:dyDescent="0.25">
      <c r="A122">
        <v>121</v>
      </c>
      <c r="B122" t="s">
        <v>19</v>
      </c>
      <c r="C122" t="s">
        <v>12</v>
      </c>
      <c r="D122">
        <v>388</v>
      </c>
      <c r="E122">
        <v>6.6</v>
      </c>
      <c r="F122">
        <v>2085</v>
      </c>
      <c r="G122">
        <v>71</v>
      </c>
      <c r="H122">
        <v>1150</v>
      </c>
      <c r="I122">
        <v>45</v>
      </c>
      <c r="J122" t="str">
        <f>IF(Table2[[#This Row],[Age]]&lt;=24, "18 - 24", IF(Table2[[#This Row],[Age]]&lt;=34, "25 - 34", IF(Table2[[#This Row],[Age]]&lt;=44, "35 - 44", IF(Table2[[#This Row],[Age]]&lt;=54, "45 - 54", "55 - 59"))))</f>
        <v>45 - 54</v>
      </c>
      <c r="K122" t="str">
        <f>IF(Table2[[#This Row],[Age]]&lt;=24, "Young Adults", IF(Table2[[#This Row],[Age]]&lt;=34, "Early Career", IF(Table2[[#This Row],[Age]]&lt;=44, "Mid Career", IF(Table2[[#This Row],[Age]]&lt;=54, "Mature Adults", "Pre-retirment"))))</f>
        <v>Mature Adults</v>
      </c>
      <c r="L122" t="s">
        <v>15</v>
      </c>
      <c r="M122">
        <v>4</v>
      </c>
      <c r="N122" t="str">
        <f t="shared" si="1"/>
        <v>Heavy User</v>
      </c>
    </row>
    <row r="123" spans="1:14" x14ac:dyDescent="0.25">
      <c r="A123">
        <v>122</v>
      </c>
      <c r="B123" t="s">
        <v>14</v>
      </c>
      <c r="C123" t="s">
        <v>12</v>
      </c>
      <c r="D123">
        <v>529</v>
      </c>
      <c r="E123">
        <v>8.6999999999999993</v>
      </c>
      <c r="F123">
        <v>2484</v>
      </c>
      <c r="G123">
        <v>89</v>
      </c>
      <c r="H123">
        <v>2189</v>
      </c>
      <c r="I123">
        <v>39</v>
      </c>
      <c r="J123" t="str">
        <f>IF(Table2[[#This Row],[Age]]&lt;=24, "18 - 24", IF(Table2[[#This Row],[Age]]&lt;=34, "25 - 34", IF(Table2[[#This Row],[Age]]&lt;=44, "35 - 44", IF(Table2[[#This Row],[Age]]&lt;=54, "45 - 54", "55 - 59"))))</f>
        <v>35 - 44</v>
      </c>
      <c r="K123" t="str">
        <f>IF(Table2[[#This Row],[Age]]&lt;=24, "Young Adults", IF(Table2[[#This Row],[Age]]&lt;=34, "Early Career", IF(Table2[[#This Row],[Age]]&lt;=44, "Mid Career", IF(Table2[[#This Row],[Age]]&lt;=54, "Mature Adults", "Pre-retirment"))))</f>
        <v>Mid Career</v>
      </c>
      <c r="L123" t="s">
        <v>15</v>
      </c>
      <c r="M123">
        <v>5</v>
      </c>
      <c r="N123" t="str">
        <f t="shared" si="1"/>
        <v>Heavy User</v>
      </c>
    </row>
    <row r="124" spans="1:14" x14ac:dyDescent="0.25">
      <c r="A124">
        <v>123</v>
      </c>
      <c r="B124" t="s">
        <v>11</v>
      </c>
      <c r="C124" t="s">
        <v>12</v>
      </c>
      <c r="D124">
        <v>584</v>
      </c>
      <c r="E124">
        <v>10</v>
      </c>
      <c r="F124">
        <v>2541</v>
      </c>
      <c r="G124">
        <v>99</v>
      </c>
      <c r="H124">
        <v>2391</v>
      </c>
      <c r="I124">
        <v>49</v>
      </c>
      <c r="J124" t="str">
        <f>IF(Table2[[#This Row],[Age]]&lt;=24, "18 - 24", IF(Table2[[#This Row],[Age]]&lt;=34, "25 - 34", IF(Table2[[#This Row],[Age]]&lt;=44, "35 - 44", IF(Table2[[#This Row],[Age]]&lt;=54, "45 - 54", "55 - 59"))))</f>
        <v>45 - 54</v>
      </c>
      <c r="K124" t="str">
        <f>IF(Table2[[#This Row],[Age]]&lt;=24, "Young Adults", IF(Table2[[#This Row],[Age]]&lt;=34, "Early Career", IF(Table2[[#This Row],[Age]]&lt;=44, "Mid Career", IF(Table2[[#This Row],[Age]]&lt;=54, "Mature Adults", "Pre-retirment"))))</f>
        <v>Mature Adults</v>
      </c>
      <c r="L124" t="s">
        <v>15</v>
      </c>
      <c r="M124">
        <v>5</v>
      </c>
      <c r="N124" t="str">
        <f t="shared" si="1"/>
        <v>Heavy User</v>
      </c>
    </row>
    <row r="125" spans="1:14" x14ac:dyDescent="0.25">
      <c r="A125">
        <v>124</v>
      </c>
      <c r="B125" t="s">
        <v>11</v>
      </c>
      <c r="C125" t="s">
        <v>12</v>
      </c>
      <c r="D125">
        <v>529</v>
      </c>
      <c r="E125">
        <v>8.1</v>
      </c>
      <c r="F125">
        <v>2686</v>
      </c>
      <c r="G125">
        <v>96</v>
      </c>
      <c r="H125">
        <v>1924</v>
      </c>
      <c r="I125">
        <v>35</v>
      </c>
      <c r="J125" t="str">
        <f>IF(Table2[[#This Row],[Age]]&lt;=24, "18 - 24", IF(Table2[[#This Row],[Age]]&lt;=34, "25 - 34", IF(Table2[[#This Row],[Age]]&lt;=44, "35 - 44", IF(Table2[[#This Row],[Age]]&lt;=54, "45 - 54", "55 - 59"))))</f>
        <v>35 - 44</v>
      </c>
      <c r="K125" t="str">
        <f>IF(Table2[[#This Row],[Age]]&lt;=24, "Young Adults", IF(Table2[[#This Row],[Age]]&lt;=34, "Early Career", IF(Table2[[#This Row],[Age]]&lt;=44, "Mid Career", IF(Table2[[#This Row],[Age]]&lt;=54, "Mature Adults", "Pre-retirment"))))</f>
        <v>Mid Career</v>
      </c>
      <c r="L125" t="s">
        <v>13</v>
      </c>
      <c r="M125">
        <v>5</v>
      </c>
      <c r="N125" t="str">
        <f t="shared" si="1"/>
        <v>Heavy User</v>
      </c>
    </row>
    <row r="126" spans="1:14" x14ac:dyDescent="0.25">
      <c r="A126">
        <v>125</v>
      </c>
      <c r="B126" t="s">
        <v>11</v>
      </c>
      <c r="C126" t="s">
        <v>12</v>
      </c>
      <c r="D126">
        <v>227</v>
      </c>
      <c r="E126">
        <v>5.0999999999999996</v>
      </c>
      <c r="F126">
        <v>1702</v>
      </c>
      <c r="G126">
        <v>57</v>
      </c>
      <c r="H126">
        <v>714</v>
      </c>
      <c r="I126">
        <v>21</v>
      </c>
      <c r="J126" t="str">
        <f>IF(Table2[[#This Row],[Age]]&lt;=24, "18 - 24", IF(Table2[[#This Row],[Age]]&lt;=34, "25 - 34", IF(Table2[[#This Row],[Age]]&lt;=44, "35 - 44", IF(Table2[[#This Row],[Age]]&lt;=54, "45 - 54", "55 - 59"))))</f>
        <v>18 - 24</v>
      </c>
      <c r="K126" t="str">
        <f>IF(Table2[[#This Row],[Age]]&lt;=24, "Young Adults", IF(Table2[[#This Row],[Age]]&lt;=34, "Early Career", IF(Table2[[#This Row],[Age]]&lt;=44, "Mid Career", IF(Table2[[#This Row],[Age]]&lt;=54, "Mature Adults", "Pre-retirment"))))</f>
        <v>Young Adults</v>
      </c>
      <c r="L126" t="s">
        <v>13</v>
      </c>
      <c r="M126">
        <v>3</v>
      </c>
      <c r="N126" t="str">
        <f t="shared" si="1"/>
        <v>Moderate User</v>
      </c>
    </row>
    <row r="127" spans="1:14" x14ac:dyDescent="0.25">
      <c r="A127">
        <v>126</v>
      </c>
      <c r="B127" t="s">
        <v>19</v>
      </c>
      <c r="C127" t="s">
        <v>12</v>
      </c>
      <c r="D127">
        <v>535</v>
      </c>
      <c r="E127">
        <v>11.8</v>
      </c>
      <c r="F127">
        <v>2858</v>
      </c>
      <c r="G127">
        <v>99</v>
      </c>
      <c r="H127">
        <v>2378</v>
      </c>
      <c r="I127">
        <v>50</v>
      </c>
      <c r="J127" t="str">
        <f>IF(Table2[[#This Row],[Age]]&lt;=24, "18 - 24", IF(Table2[[#This Row],[Age]]&lt;=34, "25 - 34", IF(Table2[[#This Row],[Age]]&lt;=44, "35 - 44", IF(Table2[[#This Row],[Age]]&lt;=54, "45 - 54", "55 - 59"))))</f>
        <v>45 - 54</v>
      </c>
      <c r="K127" t="str">
        <f>IF(Table2[[#This Row],[Age]]&lt;=24, "Young Adults", IF(Table2[[#This Row],[Age]]&lt;=34, "Early Career", IF(Table2[[#This Row],[Age]]&lt;=44, "Mid Career", IF(Table2[[#This Row],[Age]]&lt;=54, "Mature Adults", "Pre-retirment"))))</f>
        <v>Mature Adults</v>
      </c>
      <c r="L127" t="s">
        <v>13</v>
      </c>
      <c r="M127">
        <v>5</v>
      </c>
      <c r="N127" t="str">
        <f t="shared" si="1"/>
        <v>Heavy User</v>
      </c>
    </row>
    <row r="128" spans="1:14" x14ac:dyDescent="0.25">
      <c r="A128">
        <v>127</v>
      </c>
      <c r="B128" t="s">
        <v>17</v>
      </c>
      <c r="C128" t="s">
        <v>18</v>
      </c>
      <c r="D128">
        <v>332</v>
      </c>
      <c r="E128">
        <v>7.4</v>
      </c>
      <c r="F128">
        <v>2149</v>
      </c>
      <c r="G128">
        <v>68</v>
      </c>
      <c r="H128">
        <v>1321</v>
      </c>
      <c r="I128">
        <v>20</v>
      </c>
      <c r="J128" t="str">
        <f>IF(Table2[[#This Row],[Age]]&lt;=24, "18 - 24", IF(Table2[[#This Row],[Age]]&lt;=34, "25 - 34", IF(Table2[[#This Row],[Age]]&lt;=44, "35 - 44", IF(Table2[[#This Row],[Age]]&lt;=54, "45 - 54", "55 - 59"))))</f>
        <v>18 - 24</v>
      </c>
      <c r="K128" t="str">
        <f>IF(Table2[[#This Row],[Age]]&lt;=24, "Young Adults", IF(Table2[[#This Row],[Age]]&lt;=34, "Early Career", IF(Table2[[#This Row],[Age]]&lt;=44, "Mid Career", IF(Table2[[#This Row],[Age]]&lt;=54, "Mature Adults", "Pre-retirment"))))</f>
        <v>Young Adults</v>
      </c>
      <c r="L128" t="s">
        <v>15</v>
      </c>
      <c r="M128">
        <v>4</v>
      </c>
      <c r="N128" t="str">
        <f t="shared" si="1"/>
        <v>Heavy User</v>
      </c>
    </row>
    <row r="129" spans="1:14" x14ac:dyDescent="0.25">
      <c r="A129">
        <v>128</v>
      </c>
      <c r="B129" t="s">
        <v>11</v>
      </c>
      <c r="C129" t="s">
        <v>12</v>
      </c>
      <c r="D129">
        <v>252</v>
      </c>
      <c r="E129">
        <v>4.2</v>
      </c>
      <c r="F129">
        <v>1439</v>
      </c>
      <c r="G129">
        <v>45</v>
      </c>
      <c r="H129">
        <v>667</v>
      </c>
      <c r="I129">
        <v>50</v>
      </c>
      <c r="J129" t="str">
        <f>IF(Table2[[#This Row],[Age]]&lt;=24, "18 - 24", IF(Table2[[#This Row],[Age]]&lt;=34, "25 - 34", IF(Table2[[#This Row],[Age]]&lt;=44, "35 - 44", IF(Table2[[#This Row],[Age]]&lt;=54, "45 - 54", "55 - 59"))))</f>
        <v>45 - 54</v>
      </c>
      <c r="K129" t="str">
        <f>IF(Table2[[#This Row],[Age]]&lt;=24, "Young Adults", IF(Table2[[#This Row],[Age]]&lt;=34, "Early Career", IF(Table2[[#This Row],[Age]]&lt;=44, "Mid Career", IF(Table2[[#This Row],[Age]]&lt;=54, "Mature Adults", "Pre-retirment"))))</f>
        <v>Mature Adults</v>
      </c>
      <c r="L129" t="s">
        <v>15</v>
      </c>
      <c r="M129">
        <v>3</v>
      </c>
      <c r="N129" t="str">
        <f t="shared" si="1"/>
        <v>Moderate User</v>
      </c>
    </row>
    <row r="130" spans="1:14" x14ac:dyDescent="0.25">
      <c r="A130">
        <v>129</v>
      </c>
      <c r="B130" t="s">
        <v>16</v>
      </c>
      <c r="C130" t="s">
        <v>12</v>
      </c>
      <c r="D130">
        <v>125</v>
      </c>
      <c r="E130">
        <v>2.5</v>
      </c>
      <c r="F130">
        <v>678</v>
      </c>
      <c r="G130">
        <v>34</v>
      </c>
      <c r="H130">
        <v>465</v>
      </c>
      <c r="I130">
        <v>31</v>
      </c>
      <c r="J130" t="str">
        <f>IF(Table2[[#This Row],[Age]]&lt;=24, "18 - 24", IF(Table2[[#This Row],[Age]]&lt;=34, "25 - 34", IF(Table2[[#This Row],[Age]]&lt;=44, "35 - 44", IF(Table2[[#This Row],[Age]]&lt;=54, "45 - 54", "55 - 59"))))</f>
        <v>25 - 34</v>
      </c>
      <c r="K130" t="str">
        <f>IF(Table2[[#This Row],[Age]]&lt;=24, "Young Adults", IF(Table2[[#This Row],[Age]]&lt;=34, "Early Career", IF(Table2[[#This Row],[Age]]&lt;=44, "Mid Career", IF(Table2[[#This Row],[Age]]&lt;=54, "Mature Adults", "Pre-retirment"))))</f>
        <v>Early Career</v>
      </c>
      <c r="L130" t="s">
        <v>13</v>
      </c>
      <c r="M130">
        <v>2</v>
      </c>
      <c r="N130" t="str">
        <f t="shared" si="1"/>
        <v>Light User</v>
      </c>
    </row>
    <row r="131" spans="1:14" x14ac:dyDescent="0.25">
      <c r="A131">
        <v>130</v>
      </c>
      <c r="B131" t="s">
        <v>16</v>
      </c>
      <c r="C131" t="s">
        <v>12</v>
      </c>
      <c r="D131">
        <v>97</v>
      </c>
      <c r="E131">
        <v>3.3</v>
      </c>
      <c r="F131">
        <v>751</v>
      </c>
      <c r="G131">
        <v>39</v>
      </c>
      <c r="H131">
        <v>412</v>
      </c>
      <c r="I131">
        <v>36</v>
      </c>
      <c r="J131" t="str">
        <f>IF(Table2[[#This Row],[Age]]&lt;=24, "18 - 24", IF(Table2[[#This Row],[Age]]&lt;=34, "25 - 34", IF(Table2[[#This Row],[Age]]&lt;=44, "35 - 44", IF(Table2[[#This Row],[Age]]&lt;=54, "45 - 54", "55 - 59"))))</f>
        <v>35 - 44</v>
      </c>
      <c r="K131" t="str">
        <f>IF(Table2[[#This Row],[Age]]&lt;=24, "Young Adults", IF(Table2[[#This Row],[Age]]&lt;=34, "Early Career", IF(Table2[[#This Row],[Age]]&lt;=44, "Mid Career", IF(Table2[[#This Row],[Age]]&lt;=54, "Mature Adults", "Pre-retirment"))))</f>
        <v>Mid Career</v>
      </c>
      <c r="L131" t="s">
        <v>15</v>
      </c>
      <c r="M131">
        <v>2</v>
      </c>
      <c r="N131" t="str">
        <f t="shared" ref="N131:N194" si="2">IF(M131&lt;=2, "Light User", IF(M131=3, "Moderate User", "Heavy User"))</f>
        <v>Light User</v>
      </c>
    </row>
    <row r="132" spans="1:14" x14ac:dyDescent="0.25">
      <c r="A132">
        <v>131</v>
      </c>
      <c r="B132" t="s">
        <v>11</v>
      </c>
      <c r="C132" t="s">
        <v>12</v>
      </c>
      <c r="D132">
        <v>540</v>
      </c>
      <c r="E132">
        <v>10.8</v>
      </c>
      <c r="F132">
        <v>2923</v>
      </c>
      <c r="G132">
        <v>90</v>
      </c>
      <c r="H132">
        <v>1886</v>
      </c>
      <c r="I132">
        <v>40</v>
      </c>
      <c r="J132" t="str">
        <f>IF(Table2[[#This Row],[Age]]&lt;=24, "18 - 24", IF(Table2[[#This Row],[Age]]&lt;=34, "25 - 34", IF(Table2[[#This Row],[Age]]&lt;=44, "35 - 44", IF(Table2[[#This Row],[Age]]&lt;=54, "45 - 54", "55 - 59"))))</f>
        <v>35 - 44</v>
      </c>
      <c r="K132" t="str">
        <f>IF(Table2[[#This Row],[Age]]&lt;=24, "Young Adults", IF(Table2[[#This Row],[Age]]&lt;=34, "Early Career", IF(Table2[[#This Row],[Age]]&lt;=44, "Mid Career", IF(Table2[[#This Row],[Age]]&lt;=54, "Mature Adults", "Pre-retirment"))))</f>
        <v>Mid Career</v>
      </c>
      <c r="L132" t="s">
        <v>13</v>
      </c>
      <c r="M132">
        <v>5</v>
      </c>
      <c r="N132" t="str">
        <f t="shared" si="2"/>
        <v>Heavy User</v>
      </c>
    </row>
    <row r="133" spans="1:14" x14ac:dyDescent="0.25">
      <c r="A133">
        <v>132</v>
      </c>
      <c r="B133" t="s">
        <v>16</v>
      </c>
      <c r="C133" t="s">
        <v>12</v>
      </c>
      <c r="D133">
        <v>320</v>
      </c>
      <c r="E133">
        <v>7.2</v>
      </c>
      <c r="F133">
        <v>2056</v>
      </c>
      <c r="G133">
        <v>69</v>
      </c>
      <c r="H133">
        <v>1226</v>
      </c>
      <c r="I133">
        <v>52</v>
      </c>
      <c r="J133" t="str">
        <f>IF(Table2[[#This Row],[Age]]&lt;=24, "18 - 24", IF(Table2[[#This Row],[Age]]&lt;=34, "25 - 34", IF(Table2[[#This Row],[Age]]&lt;=44, "35 - 44", IF(Table2[[#This Row],[Age]]&lt;=54, "45 - 54", "55 - 59"))))</f>
        <v>45 - 54</v>
      </c>
      <c r="K133" t="str">
        <f>IF(Table2[[#This Row],[Age]]&lt;=24, "Young Adults", IF(Table2[[#This Row],[Age]]&lt;=34, "Early Career", IF(Table2[[#This Row],[Age]]&lt;=44, "Mid Career", IF(Table2[[#This Row],[Age]]&lt;=54, "Mature Adults", "Pre-retirment"))))</f>
        <v>Mature Adults</v>
      </c>
      <c r="L133" t="s">
        <v>15</v>
      </c>
      <c r="M133">
        <v>4</v>
      </c>
      <c r="N133" t="str">
        <f t="shared" si="2"/>
        <v>Heavy User</v>
      </c>
    </row>
    <row r="134" spans="1:14" x14ac:dyDescent="0.25">
      <c r="A134">
        <v>133</v>
      </c>
      <c r="B134" t="s">
        <v>11</v>
      </c>
      <c r="C134" t="s">
        <v>12</v>
      </c>
      <c r="D134">
        <v>176</v>
      </c>
      <c r="E134">
        <v>3.6</v>
      </c>
      <c r="F134">
        <v>1193</v>
      </c>
      <c r="G134">
        <v>30</v>
      </c>
      <c r="H134">
        <v>458</v>
      </c>
      <c r="I134">
        <v>40</v>
      </c>
      <c r="J134" t="str">
        <f>IF(Table2[[#This Row],[Age]]&lt;=24, "18 - 24", IF(Table2[[#This Row],[Age]]&lt;=34, "25 - 34", IF(Table2[[#This Row],[Age]]&lt;=44, "35 - 44", IF(Table2[[#This Row],[Age]]&lt;=54, "45 - 54", "55 - 59"))))</f>
        <v>35 - 44</v>
      </c>
      <c r="K134" t="str">
        <f>IF(Table2[[#This Row],[Age]]&lt;=24, "Young Adults", IF(Table2[[#This Row],[Age]]&lt;=34, "Early Career", IF(Table2[[#This Row],[Age]]&lt;=44, "Mid Career", IF(Table2[[#This Row],[Age]]&lt;=54, "Mature Adults", "Pre-retirment"))))</f>
        <v>Mid Career</v>
      </c>
      <c r="L134" t="s">
        <v>15</v>
      </c>
      <c r="M134">
        <v>2</v>
      </c>
      <c r="N134" t="str">
        <f t="shared" si="2"/>
        <v>Light User</v>
      </c>
    </row>
    <row r="135" spans="1:14" x14ac:dyDescent="0.25">
      <c r="A135">
        <v>134</v>
      </c>
      <c r="B135" t="s">
        <v>19</v>
      </c>
      <c r="C135" t="s">
        <v>12</v>
      </c>
      <c r="D135">
        <v>79</v>
      </c>
      <c r="E135">
        <v>1</v>
      </c>
      <c r="F135">
        <v>313</v>
      </c>
      <c r="G135">
        <v>18</v>
      </c>
      <c r="H135">
        <v>139</v>
      </c>
      <c r="I135">
        <v>42</v>
      </c>
      <c r="J135" t="str">
        <f>IF(Table2[[#This Row],[Age]]&lt;=24, "18 - 24", IF(Table2[[#This Row],[Age]]&lt;=34, "25 - 34", IF(Table2[[#This Row],[Age]]&lt;=44, "35 - 44", IF(Table2[[#This Row],[Age]]&lt;=54, "45 - 54", "55 - 59"))))</f>
        <v>35 - 44</v>
      </c>
      <c r="K135" t="str">
        <f>IF(Table2[[#This Row],[Age]]&lt;=24, "Young Adults", IF(Table2[[#This Row],[Age]]&lt;=34, "Early Career", IF(Table2[[#This Row],[Age]]&lt;=44, "Mid Career", IF(Table2[[#This Row],[Age]]&lt;=54, "Mature Adults", "Pre-retirment"))))</f>
        <v>Mid Career</v>
      </c>
      <c r="L135" t="s">
        <v>13</v>
      </c>
      <c r="M135">
        <v>1</v>
      </c>
      <c r="N135" t="str">
        <f t="shared" si="2"/>
        <v>Light User</v>
      </c>
    </row>
    <row r="136" spans="1:14" x14ac:dyDescent="0.25">
      <c r="A136">
        <v>135</v>
      </c>
      <c r="B136" t="s">
        <v>16</v>
      </c>
      <c r="C136" t="s">
        <v>12</v>
      </c>
      <c r="D136">
        <v>83</v>
      </c>
      <c r="E136">
        <v>1.6</v>
      </c>
      <c r="F136">
        <v>303</v>
      </c>
      <c r="G136">
        <v>19</v>
      </c>
      <c r="H136">
        <v>285</v>
      </c>
      <c r="I136">
        <v>51</v>
      </c>
      <c r="J136" t="str">
        <f>IF(Table2[[#This Row],[Age]]&lt;=24, "18 - 24", IF(Table2[[#This Row],[Age]]&lt;=34, "25 - 34", IF(Table2[[#This Row],[Age]]&lt;=44, "35 - 44", IF(Table2[[#This Row],[Age]]&lt;=54, "45 - 54", "55 - 59"))))</f>
        <v>45 - 54</v>
      </c>
      <c r="K136" t="str">
        <f>IF(Table2[[#This Row],[Age]]&lt;=24, "Young Adults", IF(Table2[[#This Row],[Age]]&lt;=34, "Early Career", IF(Table2[[#This Row],[Age]]&lt;=44, "Mid Career", IF(Table2[[#This Row],[Age]]&lt;=54, "Mature Adults", "Pre-retirment"))))</f>
        <v>Mature Adults</v>
      </c>
      <c r="L136" t="s">
        <v>13</v>
      </c>
      <c r="M136">
        <v>1</v>
      </c>
      <c r="N136" t="str">
        <f t="shared" si="2"/>
        <v>Light User</v>
      </c>
    </row>
    <row r="137" spans="1:14" x14ac:dyDescent="0.25">
      <c r="A137">
        <v>136</v>
      </c>
      <c r="B137" t="s">
        <v>17</v>
      </c>
      <c r="C137" t="s">
        <v>18</v>
      </c>
      <c r="D137">
        <v>555</v>
      </c>
      <c r="E137">
        <v>11.3</v>
      </c>
      <c r="F137">
        <v>2528</v>
      </c>
      <c r="G137">
        <v>90</v>
      </c>
      <c r="H137">
        <v>1856</v>
      </c>
      <c r="I137">
        <v>55</v>
      </c>
      <c r="J137" t="str">
        <f>IF(Table2[[#This Row],[Age]]&lt;=24, "18 - 24", IF(Table2[[#This Row],[Age]]&lt;=34, "25 - 34", IF(Table2[[#This Row],[Age]]&lt;=44, "35 - 44", IF(Table2[[#This Row],[Age]]&lt;=54, "45 - 54", "55 - 59"))))</f>
        <v>55 - 59</v>
      </c>
      <c r="K137" t="str">
        <f>IF(Table2[[#This Row],[Age]]&lt;=24, "Young Adults", IF(Table2[[#This Row],[Age]]&lt;=34, "Early Career", IF(Table2[[#This Row],[Age]]&lt;=44, "Mid Career", IF(Table2[[#This Row],[Age]]&lt;=54, "Mature Adults", "Pre-retirment"))))</f>
        <v>Pre-retirment</v>
      </c>
      <c r="L137" t="s">
        <v>15</v>
      </c>
      <c r="M137">
        <v>5</v>
      </c>
      <c r="N137" t="str">
        <f t="shared" si="2"/>
        <v>Heavy User</v>
      </c>
    </row>
    <row r="138" spans="1:14" x14ac:dyDescent="0.25">
      <c r="A138">
        <v>137</v>
      </c>
      <c r="B138" t="s">
        <v>19</v>
      </c>
      <c r="C138" t="s">
        <v>12</v>
      </c>
      <c r="D138">
        <v>66</v>
      </c>
      <c r="E138">
        <v>1.7</v>
      </c>
      <c r="F138">
        <v>375</v>
      </c>
      <c r="G138">
        <v>16</v>
      </c>
      <c r="H138">
        <v>216</v>
      </c>
      <c r="I138">
        <v>39</v>
      </c>
      <c r="J138" t="str">
        <f>IF(Table2[[#This Row],[Age]]&lt;=24, "18 - 24", IF(Table2[[#This Row],[Age]]&lt;=34, "25 - 34", IF(Table2[[#This Row],[Age]]&lt;=44, "35 - 44", IF(Table2[[#This Row],[Age]]&lt;=54, "45 - 54", "55 - 59"))))</f>
        <v>35 - 44</v>
      </c>
      <c r="K138" t="str">
        <f>IF(Table2[[#This Row],[Age]]&lt;=24, "Young Adults", IF(Table2[[#This Row],[Age]]&lt;=34, "Early Career", IF(Table2[[#This Row],[Age]]&lt;=44, "Mid Career", IF(Table2[[#This Row],[Age]]&lt;=54, "Mature Adults", "Pre-retirment"))))</f>
        <v>Mid Career</v>
      </c>
      <c r="L138" t="s">
        <v>13</v>
      </c>
      <c r="M138">
        <v>1</v>
      </c>
      <c r="N138" t="str">
        <f t="shared" si="2"/>
        <v>Light User</v>
      </c>
    </row>
    <row r="139" spans="1:14" x14ac:dyDescent="0.25">
      <c r="A139">
        <v>138</v>
      </c>
      <c r="B139" t="s">
        <v>16</v>
      </c>
      <c r="C139" t="s">
        <v>12</v>
      </c>
      <c r="D139">
        <v>237</v>
      </c>
      <c r="E139">
        <v>4.5</v>
      </c>
      <c r="F139">
        <v>1368</v>
      </c>
      <c r="G139">
        <v>42</v>
      </c>
      <c r="H139">
        <v>868</v>
      </c>
      <c r="I139">
        <v>24</v>
      </c>
      <c r="J139" t="str">
        <f>IF(Table2[[#This Row],[Age]]&lt;=24, "18 - 24", IF(Table2[[#This Row],[Age]]&lt;=34, "25 - 34", IF(Table2[[#This Row],[Age]]&lt;=44, "35 - 44", IF(Table2[[#This Row],[Age]]&lt;=54, "45 - 54", "55 - 59"))))</f>
        <v>18 - 24</v>
      </c>
      <c r="K139" t="str">
        <f>IF(Table2[[#This Row],[Age]]&lt;=24, "Young Adults", IF(Table2[[#This Row],[Age]]&lt;=34, "Early Career", IF(Table2[[#This Row],[Age]]&lt;=44, "Mid Career", IF(Table2[[#This Row],[Age]]&lt;=54, "Mature Adults", "Pre-retirment"))))</f>
        <v>Young Adults</v>
      </c>
      <c r="L139" t="s">
        <v>15</v>
      </c>
      <c r="M139">
        <v>3</v>
      </c>
      <c r="N139" t="str">
        <f t="shared" si="2"/>
        <v>Moderate User</v>
      </c>
    </row>
    <row r="140" spans="1:14" x14ac:dyDescent="0.25">
      <c r="A140">
        <v>139</v>
      </c>
      <c r="B140" t="s">
        <v>19</v>
      </c>
      <c r="C140" t="s">
        <v>12</v>
      </c>
      <c r="D140">
        <v>497</v>
      </c>
      <c r="E140">
        <v>9.6999999999999993</v>
      </c>
      <c r="F140">
        <v>2876</v>
      </c>
      <c r="G140">
        <v>94</v>
      </c>
      <c r="H140">
        <v>2076</v>
      </c>
      <c r="I140">
        <v>18</v>
      </c>
      <c r="J140" t="str">
        <f>IF(Table2[[#This Row],[Age]]&lt;=24, "18 - 24", IF(Table2[[#This Row],[Age]]&lt;=34, "25 - 34", IF(Table2[[#This Row],[Age]]&lt;=44, "35 - 44", IF(Table2[[#This Row],[Age]]&lt;=54, "45 - 54", "55 - 59"))))</f>
        <v>18 - 24</v>
      </c>
      <c r="K140" t="str">
        <f>IF(Table2[[#This Row],[Age]]&lt;=24, "Young Adults", IF(Table2[[#This Row],[Age]]&lt;=34, "Early Career", IF(Table2[[#This Row],[Age]]&lt;=44, "Mid Career", IF(Table2[[#This Row],[Age]]&lt;=54, "Mature Adults", "Pre-retirment"))))</f>
        <v>Young Adults</v>
      </c>
      <c r="L140" t="s">
        <v>13</v>
      </c>
      <c r="M140">
        <v>5</v>
      </c>
      <c r="N140" t="str">
        <f t="shared" si="2"/>
        <v>Heavy User</v>
      </c>
    </row>
    <row r="141" spans="1:14" x14ac:dyDescent="0.25">
      <c r="A141">
        <v>140</v>
      </c>
      <c r="B141" t="s">
        <v>11</v>
      </c>
      <c r="C141" t="s">
        <v>12</v>
      </c>
      <c r="D141">
        <v>516</v>
      </c>
      <c r="E141">
        <v>11.1</v>
      </c>
      <c r="F141">
        <v>2429</v>
      </c>
      <c r="G141">
        <v>91</v>
      </c>
      <c r="H141">
        <v>1796</v>
      </c>
      <c r="I141">
        <v>53</v>
      </c>
      <c r="J141" t="str">
        <f>IF(Table2[[#This Row],[Age]]&lt;=24, "18 - 24", IF(Table2[[#This Row],[Age]]&lt;=34, "25 - 34", IF(Table2[[#This Row],[Age]]&lt;=44, "35 - 44", IF(Table2[[#This Row],[Age]]&lt;=54, "45 - 54", "55 - 59"))))</f>
        <v>45 - 54</v>
      </c>
      <c r="K141" t="str">
        <f>IF(Table2[[#This Row],[Age]]&lt;=24, "Young Adults", IF(Table2[[#This Row],[Age]]&lt;=34, "Early Career", IF(Table2[[#This Row],[Age]]&lt;=44, "Mid Career", IF(Table2[[#This Row],[Age]]&lt;=54, "Mature Adults", "Pre-retirment"))))</f>
        <v>Mature Adults</v>
      </c>
      <c r="L141" t="s">
        <v>13</v>
      </c>
      <c r="M141">
        <v>5</v>
      </c>
      <c r="N141" t="str">
        <f t="shared" si="2"/>
        <v>Heavy User</v>
      </c>
    </row>
    <row r="142" spans="1:14" x14ac:dyDescent="0.25">
      <c r="A142">
        <v>141</v>
      </c>
      <c r="B142" t="s">
        <v>16</v>
      </c>
      <c r="C142" t="s">
        <v>12</v>
      </c>
      <c r="D142">
        <v>219</v>
      </c>
      <c r="E142">
        <v>5.2</v>
      </c>
      <c r="F142">
        <v>1510</v>
      </c>
      <c r="G142">
        <v>42</v>
      </c>
      <c r="H142">
        <v>655</v>
      </c>
      <c r="I142">
        <v>50</v>
      </c>
      <c r="J142" t="str">
        <f>IF(Table2[[#This Row],[Age]]&lt;=24, "18 - 24", IF(Table2[[#This Row],[Age]]&lt;=34, "25 - 34", IF(Table2[[#This Row],[Age]]&lt;=44, "35 - 44", IF(Table2[[#This Row],[Age]]&lt;=54, "45 - 54", "55 - 59"))))</f>
        <v>45 - 54</v>
      </c>
      <c r="K142" t="str">
        <f>IF(Table2[[#This Row],[Age]]&lt;=24, "Young Adults", IF(Table2[[#This Row],[Age]]&lt;=34, "Early Career", IF(Table2[[#This Row],[Age]]&lt;=44, "Mid Career", IF(Table2[[#This Row],[Age]]&lt;=54, "Mature Adults", "Pre-retirment"))))</f>
        <v>Mature Adults</v>
      </c>
      <c r="L142" t="s">
        <v>15</v>
      </c>
      <c r="M142">
        <v>3</v>
      </c>
      <c r="N142" t="str">
        <f t="shared" si="2"/>
        <v>Moderate User</v>
      </c>
    </row>
    <row r="143" spans="1:14" x14ac:dyDescent="0.25">
      <c r="A143">
        <v>142</v>
      </c>
      <c r="B143" t="s">
        <v>11</v>
      </c>
      <c r="C143" t="s">
        <v>12</v>
      </c>
      <c r="D143">
        <v>448</v>
      </c>
      <c r="E143">
        <v>6.3</v>
      </c>
      <c r="F143">
        <v>2044</v>
      </c>
      <c r="G143">
        <v>71</v>
      </c>
      <c r="H143">
        <v>1337</v>
      </c>
      <c r="I143">
        <v>51</v>
      </c>
      <c r="J143" t="str">
        <f>IF(Table2[[#This Row],[Age]]&lt;=24, "18 - 24", IF(Table2[[#This Row],[Age]]&lt;=34, "25 - 34", IF(Table2[[#This Row],[Age]]&lt;=44, "35 - 44", IF(Table2[[#This Row],[Age]]&lt;=54, "45 - 54", "55 - 59"))))</f>
        <v>45 - 54</v>
      </c>
      <c r="K143" t="str">
        <f>IF(Table2[[#This Row],[Age]]&lt;=24, "Young Adults", IF(Table2[[#This Row],[Age]]&lt;=34, "Early Career", IF(Table2[[#This Row],[Age]]&lt;=44, "Mid Career", IF(Table2[[#This Row],[Age]]&lt;=54, "Mature Adults", "Pre-retirment"))))</f>
        <v>Mature Adults</v>
      </c>
      <c r="L143" t="s">
        <v>13</v>
      </c>
      <c r="M143">
        <v>4</v>
      </c>
      <c r="N143" t="str">
        <f t="shared" si="2"/>
        <v>Heavy User</v>
      </c>
    </row>
    <row r="144" spans="1:14" x14ac:dyDescent="0.25">
      <c r="A144">
        <v>143</v>
      </c>
      <c r="B144" t="s">
        <v>17</v>
      </c>
      <c r="C144" t="s">
        <v>18</v>
      </c>
      <c r="D144">
        <v>156</v>
      </c>
      <c r="E144">
        <v>2.2000000000000002</v>
      </c>
      <c r="F144">
        <v>896</v>
      </c>
      <c r="G144">
        <v>37</v>
      </c>
      <c r="H144">
        <v>429</v>
      </c>
      <c r="I144">
        <v>57</v>
      </c>
      <c r="J144" t="str">
        <f>IF(Table2[[#This Row],[Age]]&lt;=24, "18 - 24", IF(Table2[[#This Row],[Age]]&lt;=34, "25 - 34", IF(Table2[[#This Row],[Age]]&lt;=44, "35 - 44", IF(Table2[[#This Row],[Age]]&lt;=54, "45 - 54", "55 - 59"))))</f>
        <v>55 - 59</v>
      </c>
      <c r="K144" t="str">
        <f>IF(Table2[[#This Row],[Age]]&lt;=24, "Young Adults", IF(Table2[[#This Row],[Age]]&lt;=34, "Early Career", IF(Table2[[#This Row],[Age]]&lt;=44, "Mid Career", IF(Table2[[#This Row],[Age]]&lt;=54, "Mature Adults", "Pre-retirment"))))</f>
        <v>Pre-retirment</v>
      </c>
      <c r="L144" t="s">
        <v>15</v>
      </c>
      <c r="M144">
        <v>2</v>
      </c>
      <c r="N144" t="str">
        <f t="shared" si="2"/>
        <v>Light User</v>
      </c>
    </row>
    <row r="145" spans="1:14" x14ac:dyDescent="0.25">
      <c r="A145">
        <v>144</v>
      </c>
      <c r="B145" t="s">
        <v>19</v>
      </c>
      <c r="C145" t="s">
        <v>12</v>
      </c>
      <c r="D145">
        <v>68</v>
      </c>
      <c r="E145">
        <v>1.1000000000000001</v>
      </c>
      <c r="F145">
        <v>528</v>
      </c>
      <c r="G145">
        <v>12</v>
      </c>
      <c r="H145">
        <v>201</v>
      </c>
      <c r="I145">
        <v>29</v>
      </c>
      <c r="J145" t="str">
        <f>IF(Table2[[#This Row],[Age]]&lt;=24, "18 - 24", IF(Table2[[#This Row],[Age]]&lt;=34, "25 - 34", IF(Table2[[#This Row],[Age]]&lt;=44, "35 - 44", IF(Table2[[#This Row],[Age]]&lt;=54, "45 - 54", "55 - 59"))))</f>
        <v>25 - 34</v>
      </c>
      <c r="K145" t="str">
        <f>IF(Table2[[#This Row],[Age]]&lt;=24, "Young Adults", IF(Table2[[#This Row],[Age]]&lt;=34, "Early Career", IF(Table2[[#This Row],[Age]]&lt;=44, "Mid Career", IF(Table2[[#This Row],[Age]]&lt;=54, "Mature Adults", "Pre-retirment"))))</f>
        <v>Early Career</v>
      </c>
      <c r="L145" t="s">
        <v>13</v>
      </c>
      <c r="M145">
        <v>1</v>
      </c>
      <c r="N145" t="str">
        <f t="shared" si="2"/>
        <v>Light User</v>
      </c>
    </row>
    <row r="146" spans="1:14" x14ac:dyDescent="0.25">
      <c r="A146">
        <v>145</v>
      </c>
      <c r="B146" t="s">
        <v>17</v>
      </c>
      <c r="C146" t="s">
        <v>18</v>
      </c>
      <c r="D146">
        <v>524</v>
      </c>
      <c r="E146">
        <v>11.2</v>
      </c>
      <c r="F146">
        <v>2417</v>
      </c>
      <c r="G146">
        <v>90</v>
      </c>
      <c r="H146">
        <v>2069</v>
      </c>
      <c r="I146">
        <v>29</v>
      </c>
      <c r="J146" t="str">
        <f>IF(Table2[[#This Row],[Age]]&lt;=24, "18 - 24", IF(Table2[[#This Row],[Age]]&lt;=34, "25 - 34", IF(Table2[[#This Row],[Age]]&lt;=44, "35 - 44", IF(Table2[[#This Row],[Age]]&lt;=54, "45 - 54", "55 - 59"))))</f>
        <v>25 - 34</v>
      </c>
      <c r="K146" t="str">
        <f>IF(Table2[[#This Row],[Age]]&lt;=24, "Young Adults", IF(Table2[[#This Row],[Age]]&lt;=34, "Early Career", IF(Table2[[#This Row],[Age]]&lt;=44, "Mid Career", IF(Table2[[#This Row],[Age]]&lt;=54, "Mature Adults", "Pre-retirment"))))</f>
        <v>Early Career</v>
      </c>
      <c r="L146" t="s">
        <v>15</v>
      </c>
      <c r="M146">
        <v>5</v>
      </c>
      <c r="N146" t="str">
        <f t="shared" si="2"/>
        <v>Heavy User</v>
      </c>
    </row>
    <row r="147" spans="1:14" x14ac:dyDescent="0.25">
      <c r="A147">
        <v>146</v>
      </c>
      <c r="B147" t="s">
        <v>17</v>
      </c>
      <c r="C147" t="s">
        <v>18</v>
      </c>
      <c r="D147">
        <v>188</v>
      </c>
      <c r="E147">
        <v>5.3</v>
      </c>
      <c r="F147">
        <v>1281</v>
      </c>
      <c r="G147">
        <v>45</v>
      </c>
      <c r="H147">
        <v>974</v>
      </c>
      <c r="I147">
        <v>35</v>
      </c>
      <c r="J147" t="str">
        <f>IF(Table2[[#This Row],[Age]]&lt;=24, "18 - 24", IF(Table2[[#This Row],[Age]]&lt;=34, "25 - 34", IF(Table2[[#This Row],[Age]]&lt;=44, "35 - 44", IF(Table2[[#This Row],[Age]]&lt;=54, "45 - 54", "55 - 59"))))</f>
        <v>35 - 44</v>
      </c>
      <c r="K147" t="str">
        <f>IF(Table2[[#This Row],[Age]]&lt;=24, "Young Adults", IF(Table2[[#This Row],[Age]]&lt;=34, "Early Career", IF(Table2[[#This Row],[Age]]&lt;=44, "Mid Career", IF(Table2[[#This Row],[Age]]&lt;=54, "Mature Adults", "Pre-retirment"))))</f>
        <v>Mid Career</v>
      </c>
      <c r="L147" t="s">
        <v>13</v>
      </c>
      <c r="M147">
        <v>3</v>
      </c>
      <c r="N147" t="str">
        <f t="shared" si="2"/>
        <v>Moderate User</v>
      </c>
    </row>
    <row r="148" spans="1:14" x14ac:dyDescent="0.25">
      <c r="A148">
        <v>147</v>
      </c>
      <c r="B148" t="s">
        <v>19</v>
      </c>
      <c r="C148" t="s">
        <v>12</v>
      </c>
      <c r="D148">
        <v>443</v>
      </c>
      <c r="E148">
        <v>7.4</v>
      </c>
      <c r="F148">
        <v>2289</v>
      </c>
      <c r="G148">
        <v>73</v>
      </c>
      <c r="H148">
        <v>1026</v>
      </c>
      <c r="I148">
        <v>33</v>
      </c>
      <c r="J148" t="str">
        <f>IF(Table2[[#This Row],[Age]]&lt;=24, "18 - 24", IF(Table2[[#This Row],[Age]]&lt;=34, "25 - 34", IF(Table2[[#This Row],[Age]]&lt;=44, "35 - 44", IF(Table2[[#This Row],[Age]]&lt;=54, "45 - 54", "55 - 59"))))</f>
        <v>25 - 34</v>
      </c>
      <c r="K148" t="str">
        <f>IF(Table2[[#This Row],[Age]]&lt;=24, "Young Adults", IF(Table2[[#This Row],[Age]]&lt;=34, "Early Career", IF(Table2[[#This Row],[Age]]&lt;=44, "Mid Career", IF(Table2[[#This Row],[Age]]&lt;=54, "Mature Adults", "Pre-retirment"))))</f>
        <v>Early Career</v>
      </c>
      <c r="L148" t="s">
        <v>13</v>
      </c>
      <c r="M148">
        <v>4</v>
      </c>
      <c r="N148" t="str">
        <f t="shared" si="2"/>
        <v>Heavy User</v>
      </c>
    </row>
    <row r="149" spans="1:14" x14ac:dyDescent="0.25">
      <c r="A149">
        <v>148</v>
      </c>
      <c r="B149" t="s">
        <v>16</v>
      </c>
      <c r="C149" t="s">
        <v>12</v>
      </c>
      <c r="D149">
        <v>52</v>
      </c>
      <c r="E149">
        <v>1.6</v>
      </c>
      <c r="F149">
        <v>385</v>
      </c>
      <c r="G149">
        <v>19</v>
      </c>
      <c r="H149">
        <v>234</v>
      </c>
      <c r="I149">
        <v>24</v>
      </c>
      <c r="J149" t="str">
        <f>IF(Table2[[#This Row],[Age]]&lt;=24, "18 - 24", IF(Table2[[#This Row],[Age]]&lt;=34, "25 - 34", IF(Table2[[#This Row],[Age]]&lt;=44, "35 - 44", IF(Table2[[#This Row],[Age]]&lt;=54, "45 - 54", "55 - 59"))))</f>
        <v>18 - 24</v>
      </c>
      <c r="K149" t="str">
        <f>IF(Table2[[#This Row],[Age]]&lt;=24, "Young Adults", IF(Table2[[#This Row],[Age]]&lt;=34, "Early Career", IF(Table2[[#This Row],[Age]]&lt;=44, "Mid Career", IF(Table2[[#This Row],[Age]]&lt;=54, "Mature Adults", "Pre-retirment"))))</f>
        <v>Young Adults</v>
      </c>
      <c r="L149" t="s">
        <v>13</v>
      </c>
      <c r="M149">
        <v>1</v>
      </c>
      <c r="N149" t="str">
        <f t="shared" si="2"/>
        <v>Light User</v>
      </c>
    </row>
    <row r="150" spans="1:14" x14ac:dyDescent="0.25">
      <c r="A150">
        <v>149</v>
      </c>
      <c r="B150" t="s">
        <v>14</v>
      </c>
      <c r="C150" t="s">
        <v>12</v>
      </c>
      <c r="D150">
        <v>228</v>
      </c>
      <c r="E150">
        <v>4.2</v>
      </c>
      <c r="F150">
        <v>1677</v>
      </c>
      <c r="G150">
        <v>58</v>
      </c>
      <c r="H150">
        <v>823</v>
      </c>
      <c r="I150">
        <v>56</v>
      </c>
      <c r="J150" t="str">
        <f>IF(Table2[[#This Row],[Age]]&lt;=24, "18 - 24", IF(Table2[[#This Row],[Age]]&lt;=34, "25 - 34", IF(Table2[[#This Row],[Age]]&lt;=44, "35 - 44", IF(Table2[[#This Row],[Age]]&lt;=54, "45 - 54", "55 - 59"))))</f>
        <v>55 - 59</v>
      </c>
      <c r="K150" t="str">
        <f>IF(Table2[[#This Row],[Age]]&lt;=24, "Young Adults", IF(Table2[[#This Row],[Age]]&lt;=34, "Early Career", IF(Table2[[#This Row],[Age]]&lt;=44, "Mid Career", IF(Table2[[#This Row],[Age]]&lt;=54, "Mature Adults", "Pre-retirment"))))</f>
        <v>Pre-retirment</v>
      </c>
      <c r="L150" t="s">
        <v>13</v>
      </c>
      <c r="M150">
        <v>3</v>
      </c>
      <c r="N150" t="str">
        <f t="shared" si="2"/>
        <v>Moderate User</v>
      </c>
    </row>
    <row r="151" spans="1:14" x14ac:dyDescent="0.25">
      <c r="A151">
        <v>150</v>
      </c>
      <c r="B151" t="s">
        <v>11</v>
      </c>
      <c r="C151" t="s">
        <v>12</v>
      </c>
      <c r="D151">
        <v>149</v>
      </c>
      <c r="E151">
        <v>3.7</v>
      </c>
      <c r="F151">
        <v>873</v>
      </c>
      <c r="G151">
        <v>34</v>
      </c>
      <c r="H151">
        <v>459</v>
      </c>
      <c r="I151">
        <v>51</v>
      </c>
      <c r="J151" t="str">
        <f>IF(Table2[[#This Row],[Age]]&lt;=24, "18 - 24", IF(Table2[[#This Row],[Age]]&lt;=34, "25 - 34", IF(Table2[[#This Row],[Age]]&lt;=44, "35 - 44", IF(Table2[[#This Row],[Age]]&lt;=54, "45 - 54", "55 - 59"))))</f>
        <v>45 - 54</v>
      </c>
      <c r="K151" t="str">
        <f>IF(Table2[[#This Row],[Age]]&lt;=24, "Young Adults", IF(Table2[[#This Row],[Age]]&lt;=34, "Early Career", IF(Table2[[#This Row],[Age]]&lt;=44, "Mid Career", IF(Table2[[#This Row],[Age]]&lt;=54, "Mature Adults", "Pre-retirment"))))</f>
        <v>Mature Adults</v>
      </c>
      <c r="L151" t="s">
        <v>13</v>
      </c>
      <c r="M151">
        <v>2</v>
      </c>
      <c r="N151" t="str">
        <f t="shared" si="2"/>
        <v>Light User</v>
      </c>
    </row>
    <row r="152" spans="1:14" x14ac:dyDescent="0.25">
      <c r="A152">
        <v>151</v>
      </c>
      <c r="B152" t="s">
        <v>17</v>
      </c>
      <c r="C152" t="s">
        <v>18</v>
      </c>
      <c r="D152">
        <v>523</v>
      </c>
      <c r="E152">
        <v>9.4</v>
      </c>
      <c r="F152">
        <v>2583</v>
      </c>
      <c r="G152">
        <v>92</v>
      </c>
      <c r="H152">
        <v>1539</v>
      </c>
      <c r="I152">
        <v>21</v>
      </c>
      <c r="J152" t="str">
        <f>IF(Table2[[#This Row],[Age]]&lt;=24, "18 - 24", IF(Table2[[#This Row],[Age]]&lt;=34, "25 - 34", IF(Table2[[#This Row],[Age]]&lt;=44, "35 - 44", IF(Table2[[#This Row],[Age]]&lt;=54, "45 - 54", "55 - 59"))))</f>
        <v>18 - 24</v>
      </c>
      <c r="K152" t="str">
        <f>IF(Table2[[#This Row],[Age]]&lt;=24, "Young Adults", IF(Table2[[#This Row],[Age]]&lt;=34, "Early Career", IF(Table2[[#This Row],[Age]]&lt;=44, "Mid Career", IF(Table2[[#This Row],[Age]]&lt;=54, "Mature Adults", "Pre-retirment"))))</f>
        <v>Young Adults</v>
      </c>
      <c r="L152" t="s">
        <v>13</v>
      </c>
      <c r="M152">
        <v>5</v>
      </c>
      <c r="N152" t="str">
        <f t="shared" si="2"/>
        <v>Heavy User</v>
      </c>
    </row>
    <row r="153" spans="1:14" x14ac:dyDescent="0.25">
      <c r="A153">
        <v>152</v>
      </c>
      <c r="B153" t="s">
        <v>19</v>
      </c>
      <c r="C153" t="s">
        <v>12</v>
      </c>
      <c r="D153">
        <v>42</v>
      </c>
      <c r="E153">
        <v>1.6</v>
      </c>
      <c r="F153">
        <v>315</v>
      </c>
      <c r="G153">
        <v>19</v>
      </c>
      <c r="H153">
        <v>207</v>
      </c>
      <c r="I153">
        <v>52</v>
      </c>
      <c r="J153" t="str">
        <f>IF(Table2[[#This Row],[Age]]&lt;=24, "18 - 24", IF(Table2[[#This Row],[Age]]&lt;=34, "25 - 34", IF(Table2[[#This Row],[Age]]&lt;=44, "35 - 44", IF(Table2[[#This Row],[Age]]&lt;=54, "45 - 54", "55 - 59"))))</f>
        <v>45 - 54</v>
      </c>
      <c r="K153" t="str">
        <f>IF(Table2[[#This Row],[Age]]&lt;=24, "Young Adults", IF(Table2[[#This Row],[Age]]&lt;=34, "Early Career", IF(Table2[[#This Row],[Age]]&lt;=44, "Mid Career", IF(Table2[[#This Row],[Age]]&lt;=54, "Mature Adults", "Pre-retirment"))))</f>
        <v>Mature Adults</v>
      </c>
      <c r="L153" t="s">
        <v>15</v>
      </c>
      <c r="M153">
        <v>1</v>
      </c>
      <c r="N153" t="str">
        <f t="shared" si="2"/>
        <v>Light User</v>
      </c>
    </row>
    <row r="154" spans="1:14" x14ac:dyDescent="0.25">
      <c r="A154">
        <v>153</v>
      </c>
      <c r="B154" t="s">
        <v>11</v>
      </c>
      <c r="C154" t="s">
        <v>12</v>
      </c>
      <c r="D154">
        <v>120</v>
      </c>
      <c r="E154">
        <v>2</v>
      </c>
      <c r="F154">
        <v>741</v>
      </c>
      <c r="G154">
        <v>38</v>
      </c>
      <c r="H154">
        <v>396</v>
      </c>
      <c r="I154">
        <v>56</v>
      </c>
      <c r="J154" t="str">
        <f>IF(Table2[[#This Row],[Age]]&lt;=24, "18 - 24", IF(Table2[[#This Row],[Age]]&lt;=34, "25 - 34", IF(Table2[[#This Row],[Age]]&lt;=44, "35 - 44", IF(Table2[[#This Row],[Age]]&lt;=54, "45 - 54", "55 - 59"))))</f>
        <v>55 - 59</v>
      </c>
      <c r="K154" t="str">
        <f>IF(Table2[[#This Row],[Age]]&lt;=24, "Young Adults", IF(Table2[[#This Row],[Age]]&lt;=34, "Early Career", IF(Table2[[#This Row],[Age]]&lt;=44, "Mid Career", IF(Table2[[#This Row],[Age]]&lt;=54, "Mature Adults", "Pre-retirment"))))</f>
        <v>Pre-retirment</v>
      </c>
      <c r="L154" t="s">
        <v>15</v>
      </c>
      <c r="M154">
        <v>2</v>
      </c>
      <c r="N154" t="str">
        <f t="shared" si="2"/>
        <v>Light User</v>
      </c>
    </row>
    <row r="155" spans="1:14" x14ac:dyDescent="0.25">
      <c r="A155">
        <v>154</v>
      </c>
      <c r="B155" t="s">
        <v>14</v>
      </c>
      <c r="C155" t="s">
        <v>12</v>
      </c>
      <c r="D155">
        <v>329</v>
      </c>
      <c r="E155">
        <v>7.5</v>
      </c>
      <c r="F155">
        <v>2277</v>
      </c>
      <c r="G155">
        <v>72</v>
      </c>
      <c r="H155">
        <v>1185</v>
      </c>
      <c r="I155">
        <v>27</v>
      </c>
      <c r="J155" t="str">
        <f>IF(Table2[[#This Row],[Age]]&lt;=24, "18 - 24", IF(Table2[[#This Row],[Age]]&lt;=34, "25 - 34", IF(Table2[[#This Row],[Age]]&lt;=44, "35 - 44", IF(Table2[[#This Row],[Age]]&lt;=54, "45 - 54", "55 - 59"))))</f>
        <v>25 - 34</v>
      </c>
      <c r="K155" t="str">
        <f>IF(Table2[[#This Row],[Age]]&lt;=24, "Young Adults", IF(Table2[[#This Row],[Age]]&lt;=34, "Early Career", IF(Table2[[#This Row],[Age]]&lt;=44, "Mid Career", IF(Table2[[#This Row],[Age]]&lt;=54, "Mature Adults", "Pre-retirment"))))</f>
        <v>Early Career</v>
      </c>
      <c r="L155" t="s">
        <v>15</v>
      </c>
      <c r="M155">
        <v>4</v>
      </c>
      <c r="N155" t="str">
        <f t="shared" si="2"/>
        <v>Heavy User</v>
      </c>
    </row>
    <row r="156" spans="1:14" x14ac:dyDescent="0.25">
      <c r="A156">
        <v>155</v>
      </c>
      <c r="B156" t="s">
        <v>16</v>
      </c>
      <c r="C156" t="s">
        <v>12</v>
      </c>
      <c r="D156">
        <v>68</v>
      </c>
      <c r="E156">
        <v>1.5</v>
      </c>
      <c r="F156">
        <v>364</v>
      </c>
      <c r="G156">
        <v>10</v>
      </c>
      <c r="H156">
        <v>102</v>
      </c>
      <c r="I156">
        <v>31</v>
      </c>
      <c r="J156" t="str">
        <f>IF(Table2[[#This Row],[Age]]&lt;=24, "18 - 24", IF(Table2[[#This Row],[Age]]&lt;=34, "25 - 34", IF(Table2[[#This Row],[Age]]&lt;=44, "35 - 44", IF(Table2[[#This Row],[Age]]&lt;=54, "45 - 54", "55 - 59"))))</f>
        <v>25 - 34</v>
      </c>
      <c r="K156" t="str">
        <f>IF(Table2[[#This Row],[Age]]&lt;=24, "Young Adults", IF(Table2[[#This Row],[Age]]&lt;=34, "Early Career", IF(Table2[[#This Row],[Age]]&lt;=44, "Mid Career", IF(Table2[[#This Row],[Age]]&lt;=54, "Mature Adults", "Pre-retirment"))))</f>
        <v>Early Career</v>
      </c>
      <c r="L156" t="s">
        <v>15</v>
      </c>
      <c r="M156">
        <v>1</v>
      </c>
      <c r="N156" t="str">
        <f t="shared" si="2"/>
        <v>Light User</v>
      </c>
    </row>
    <row r="157" spans="1:14" x14ac:dyDescent="0.25">
      <c r="A157">
        <v>156</v>
      </c>
      <c r="B157" t="s">
        <v>16</v>
      </c>
      <c r="C157" t="s">
        <v>12</v>
      </c>
      <c r="D157">
        <v>158</v>
      </c>
      <c r="E157">
        <v>3.4</v>
      </c>
      <c r="F157">
        <v>893</v>
      </c>
      <c r="G157">
        <v>36</v>
      </c>
      <c r="H157">
        <v>493</v>
      </c>
      <c r="I157">
        <v>32</v>
      </c>
      <c r="J157" t="str">
        <f>IF(Table2[[#This Row],[Age]]&lt;=24, "18 - 24", IF(Table2[[#This Row],[Age]]&lt;=34, "25 - 34", IF(Table2[[#This Row],[Age]]&lt;=44, "35 - 44", IF(Table2[[#This Row],[Age]]&lt;=54, "45 - 54", "55 - 59"))))</f>
        <v>25 - 34</v>
      </c>
      <c r="K157" t="str">
        <f>IF(Table2[[#This Row],[Age]]&lt;=24, "Young Adults", IF(Table2[[#This Row],[Age]]&lt;=34, "Early Career", IF(Table2[[#This Row],[Age]]&lt;=44, "Mid Career", IF(Table2[[#This Row],[Age]]&lt;=54, "Mature Adults", "Pre-retirment"))))</f>
        <v>Early Career</v>
      </c>
      <c r="L157" t="s">
        <v>13</v>
      </c>
      <c r="M157">
        <v>2</v>
      </c>
      <c r="N157" t="str">
        <f t="shared" si="2"/>
        <v>Light User</v>
      </c>
    </row>
    <row r="158" spans="1:14" x14ac:dyDescent="0.25">
      <c r="A158">
        <v>157</v>
      </c>
      <c r="B158" t="s">
        <v>16</v>
      </c>
      <c r="C158" t="s">
        <v>12</v>
      </c>
      <c r="D158">
        <v>86</v>
      </c>
      <c r="E158">
        <v>1.7</v>
      </c>
      <c r="F158">
        <v>439</v>
      </c>
      <c r="G158">
        <v>19</v>
      </c>
      <c r="H158">
        <v>136</v>
      </c>
      <c r="I158">
        <v>54</v>
      </c>
      <c r="J158" t="str">
        <f>IF(Table2[[#This Row],[Age]]&lt;=24, "18 - 24", IF(Table2[[#This Row],[Age]]&lt;=34, "25 - 34", IF(Table2[[#This Row],[Age]]&lt;=44, "35 - 44", IF(Table2[[#This Row],[Age]]&lt;=54, "45 - 54", "55 - 59"))))</f>
        <v>45 - 54</v>
      </c>
      <c r="K158" t="str">
        <f>IF(Table2[[#This Row],[Age]]&lt;=24, "Young Adults", IF(Table2[[#This Row],[Age]]&lt;=34, "Early Career", IF(Table2[[#This Row],[Age]]&lt;=44, "Mid Career", IF(Table2[[#This Row],[Age]]&lt;=54, "Mature Adults", "Pre-retirment"))))</f>
        <v>Mature Adults</v>
      </c>
      <c r="L158" t="s">
        <v>13</v>
      </c>
      <c r="M158">
        <v>1</v>
      </c>
      <c r="N158" t="str">
        <f t="shared" si="2"/>
        <v>Light User</v>
      </c>
    </row>
    <row r="159" spans="1:14" x14ac:dyDescent="0.25">
      <c r="A159">
        <v>158</v>
      </c>
      <c r="B159" t="s">
        <v>16</v>
      </c>
      <c r="C159" t="s">
        <v>12</v>
      </c>
      <c r="D159">
        <v>339</v>
      </c>
      <c r="E159">
        <v>7.8</v>
      </c>
      <c r="F159">
        <v>2102</v>
      </c>
      <c r="G159">
        <v>71</v>
      </c>
      <c r="H159">
        <v>1062</v>
      </c>
      <c r="I159">
        <v>51</v>
      </c>
      <c r="J159" t="str">
        <f>IF(Table2[[#This Row],[Age]]&lt;=24, "18 - 24", IF(Table2[[#This Row],[Age]]&lt;=34, "25 - 34", IF(Table2[[#This Row],[Age]]&lt;=44, "35 - 44", IF(Table2[[#This Row],[Age]]&lt;=54, "45 - 54", "55 - 59"))))</f>
        <v>45 - 54</v>
      </c>
      <c r="K159" t="str">
        <f>IF(Table2[[#This Row],[Age]]&lt;=24, "Young Adults", IF(Table2[[#This Row],[Age]]&lt;=34, "Early Career", IF(Table2[[#This Row],[Age]]&lt;=44, "Mid Career", IF(Table2[[#This Row],[Age]]&lt;=54, "Mature Adults", "Pre-retirment"))))</f>
        <v>Mature Adults</v>
      </c>
      <c r="L159" t="s">
        <v>13</v>
      </c>
      <c r="M159">
        <v>4</v>
      </c>
      <c r="N159" t="str">
        <f t="shared" si="2"/>
        <v>Heavy User</v>
      </c>
    </row>
    <row r="160" spans="1:14" x14ac:dyDescent="0.25">
      <c r="A160">
        <v>159</v>
      </c>
      <c r="B160" t="s">
        <v>19</v>
      </c>
      <c r="C160" t="s">
        <v>12</v>
      </c>
      <c r="D160">
        <v>304</v>
      </c>
      <c r="E160">
        <v>6.5</v>
      </c>
      <c r="F160">
        <v>2375</v>
      </c>
      <c r="G160">
        <v>79</v>
      </c>
      <c r="H160">
        <v>1493</v>
      </c>
      <c r="I160">
        <v>51</v>
      </c>
      <c r="J160" t="str">
        <f>IF(Table2[[#This Row],[Age]]&lt;=24, "18 - 24", IF(Table2[[#This Row],[Age]]&lt;=34, "25 - 34", IF(Table2[[#This Row],[Age]]&lt;=44, "35 - 44", IF(Table2[[#This Row],[Age]]&lt;=54, "45 - 54", "55 - 59"))))</f>
        <v>45 - 54</v>
      </c>
      <c r="K160" t="str">
        <f>IF(Table2[[#This Row],[Age]]&lt;=24, "Young Adults", IF(Table2[[#This Row],[Age]]&lt;=34, "Early Career", IF(Table2[[#This Row],[Age]]&lt;=44, "Mid Career", IF(Table2[[#This Row],[Age]]&lt;=54, "Mature Adults", "Pre-retirment"))))</f>
        <v>Mature Adults</v>
      </c>
      <c r="L160" t="s">
        <v>13</v>
      </c>
      <c r="M160">
        <v>4</v>
      </c>
      <c r="N160" t="str">
        <f t="shared" si="2"/>
        <v>Heavy User</v>
      </c>
    </row>
    <row r="161" spans="1:14" x14ac:dyDescent="0.25">
      <c r="A161">
        <v>160</v>
      </c>
      <c r="B161" t="s">
        <v>16</v>
      </c>
      <c r="C161" t="s">
        <v>12</v>
      </c>
      <c r="D161">
        <v>131</v>
      </c>
      <c r="E161">
        <v>2.4</v>
      </c>
      <c r="F161">
        <v>859</v>
      </c>
      <c r="G161">
        <v>26</v>
      </c>
      <c r="H161">
        <v>305</v>
      </c>
      <c r="I161">
        <v>40</v>
      </c>
      <c r="J161" t="str">
        <f>IF(Table2[[#This Row],[Age]]&lt;=24, "18 - 24", IF(Table2[[#This Row],[Age]]&lt;=34, "25 - 34", IF(Table2[[#This Row],[Age]]&lt;=44, "35 - 44", IF(Table2[[#This Row],[Age]]&lt;=54, "45 - 54", "55 - 59"))))</f>
        <v>35 - 44</v>
      </c>
      <c r="K161" t="str">
        <f>IF(Table2[[#This Row],[Age]]&lt;=24, "Young Adults", IF(Table2[[#This Row],[Age]]&lt;=34, "Early Career", IF(Table2[[#This Row],[Age]]&lt;=44, "Mid Career", IF(Table2[[#This Row],[Age]]&lt;=54, "Mature Adults", "Pre-retirment"))))</f>
        <v>Mid Career</v>
      </c>
      <c r="L161" t="s">
        <v>13</v>
      </c>
      <c r="M161">
        <v>2</v>
      </c>
      <c r="N161" t="str">
        <f t="shared" si="2"/>
        <v>Light User</v>
      </c>
    </row>
    <row r="162" spans="1:14" x14ac:dyDescent="0.25">
      <c r="A162">
        <v>161</v>
      </c>
      <c r="B162" t="s">
        <v>19</v>
      </c>
      <c r="C162" t="s">
        <v>12</v>
      </c>
      <c r="D162">
        <v>64</v>
      </c>
      <c r="E162">
        <v>1.6</v>
      </c>
      <c r="F162">
        <v>540</v>
      </c>
      <c r="G162">
        <v>19</v>
      </c>
      <c r="H162">
        <v>262</v>
      </c>
      <c r="I162">
        <v>35</v>
      </c>
      <c r="J162" t="str">
        <f>IF(Table2[[#This Row],[Age]]&lt;=24, "18 - 24", IF(Table2[[#This Row],[Age]]&lt;=34, "25 - 34", IF(Table2[[#This Row],[Age]]&lt;=44, "35 - 44", IF(Table2[[#This Row],[Age]]&lt;=54, "45 - 54", "55 - 59"))))</f>
        <v>35 - 44</v>
      </c>
      <c r="K162" t="str">
        <f>IF(Table2[[#This Row],[Age]]&lt;=24, "Young Adults", IF(Table2[[#This Row],[Age]]&lt;=34, "Early Career", IF(Table2[[#This Row],[Age]]&lt;=44, "Mid Career", IF(Table2[[#This Row],[Age]]&lt;=54, "Mature Adults", "Pre-retirment"))))</f>
        <v>Mid Career</v>
      </c>
      <c r="L162" t="s">
        <v>15</v>
      </c>
      <c r="M162">
        <v>1</v>
      </c>
      <c r="N162" t="str">
        <f t="shared" si="2"/>
        <v>Light User</v>
      </c>
    </row>
    <row r="163" spans="1:14" x14ac:dyDescent="0.25">
      <c r="A163">
        <v>162</v>
      </c>
      <c r="B163" t="s">
        <v>16</v>
      </c>
      <c r="C163" t="s">
        <v>12</v>
      </c>
      <c r="D163">
        <v>53</v>
      </c>
      <c r="E163">
        <v>1.9</v>
      </c>
      <c r="F163">
        <v>526</v>
      </c>
      <c r="G163">
        <v>15</v>
      </c>
      <c r="H163">
        <v>112</v>
      </c>
      <c r="I163">
        <v>42</v>
      </c>
      <c r="J163" t="str">
        <f>IF(Table2[[#This Row],[Age]]&lt;=24, "18 - 24", IF(Table2[[#This Row],[Age]]&lt;=34, "25 - 34", IF(Table2[[#This Row],[Age]]&lt;=44, "35 - 44", IF(Table2[[#This Row],[Age]]&lt;=54, "45 - 54", "55 - 59"))))</f>
        <v>35 - 44</v>
      </c>
      <c r="K163" t="str">
        <f>IF(Table2[[#This Row],[Age]]&lt;=24, "Young Adults", IF(Table2[[#This Row],[Age]]&lt;=34, "Early Career", IF(Table2[[#This Row],[Age]]&lt;=44, "Mid Career", IF(Table2[[#This Row],[Age]]&lt;=54, "Mature Adults", "Pre-retirment"))))</f>
        <v>Mid Career</v>
      </c>
      <c r="L163" t="s">
        <v>13</v>
      </c>
      <c r="M163">
        <v>1</v>
      </c>
      <c r="N163" t="str">
        <f t="shared" si="2"/>
        <v>Light User</v>
      </c>
    </row>
    <row r="164" spans="1:14" x14ac:dyDescent="0.25">
      <c r="A164">
        <v>163</v>
      </c>
      <c r="B164" t="s">
        <v>11</v>
      </c>
      <c r="C164" t="s">
        <v>12</v>
      </c>
      <c r="D164">
        <v>442</v>
      </c>
      <c r="E164">
        <v>7.7</v>
      </c>
      <c r="F164">
        <v>2067</v>
      </c>
      <c r="G164">
        <v>69</v>
      </c>
      <c r="H164">
        <v>1440</v>
      </c>
      <c r="I164">
        <v>45</v>
      </c>
      <c r="J164" t="str">
        <f>IF(Table2[[#This Row],[Age]]&lt;=24, "18 - 24", IF(Table2[[#This Row],[Age]]&lt;=34, "25 - 34", IF(Table2[[#This Row],[Age]]&lt;=44, "35 - 44", IF(Table2[[#This Row],[Age]]&lt;=54, "45 - 54", "55 - 59"))))</f>
        <v>45 - 54</v>
      </c>
      <c r="K164" t="str">
        <f>IF(Table2[[#This Row],[Age]]&lt;=24, "Young Adults", IF(Table2[[#This Row],[Age]]&lt;=34, "Early Career", IF(Table2[[#This Row],[Age]]&lt;=44, "Mid Career", IF(Table2[[#This Row],[Age]]&lt;=54, "Mature Adults", "Pre-retirment"))))</f>
        <v>Mature Adults</v>
      </c>
      <c r="L164" t="s">
        <v>13</v>
      </c>
      <c r="M164">
        <v>4</v>
      </c>
      <c r="N164" t="str">
        <f t="shared" si="2"/>
        <v>Heavy User</v>
      </c>
    </row>
    <row r="165" spans="1:14" x14ac:dyDescent="0.25">
      <c r="A165">
        <v>164</v>
      </c>
      <c r="B165" t="s">
        <v>17</v>
      </c>
      <c r="C165" t="s">
        <v>18</v>
      </c>
      <c r="D165">
        <v>32</v>
      </c>
      <c r="E165">
        <v>2</v>
      </c>
      <c r="F165">
        <v>469</v>
      </c>
      <c r="G165">
        <v>18</v>
      </c>
      <c r="H165">
        <v>139</v>
      </c>
      <c r="I165">
        <v>22</v>
      </c>
      <c r="J165" t="str">
        <f>IF(Table2[[#This Row],[Age]]&lt;=24, "18 - 24", IF(Table2[[#This Row],[Age]]&lt;=34, "25 - 34", IF(Table2[[#This Row],[Age]]&lt;=44, "35 - 44", IF(Table2[[#This Row],[Age]]&lt;=54, "45 - 54", "55 - 59"))))</f>
        <v>18 - 24</v>
      </c>
      <c r="K165" t="str">
        <f>IF(Table2[[#This Row],[Age]]&lt;=24, "Young Adults", IF(Table2[[#This Row],[Age]]&lt;=34, "Early Career", IF(Table2[[#This Row],[Age]]&lt;=44, "Mid Career", IF(Table2[[#This Row],[Age]]&lt;=54, "Mature Adults", "Pre-retirment"))))</f>
        <v>Young Adults</v>
      </c>
      <c r="L165" t="s">
        <v>13</v>
      </c>
      <c r="M165">
        <v>1</v>
      </c>
      <c r="N165" t="str">
        <f t="shared" si="2"/>
        <v>Light User</v>
      </c>
    </row>
    <row r="166" spans="1:14" x14ac:dyDescent="0.25">
      <c r="A166">
        <v>165</v>
      </c>
      <c r="B166" t="s">
        <v>16</v>
      </c>
      <c r="C166" t="s">
        <v>12</v>
      </c>
      <c r="D166">
        <v>278</v>
      </c>
      <c r="E166">
        <v>4.8</v>
      </c>
      <c r="F166">
        <v>1238</v>
      </c>
      <c r="G166">
        <v>48</v>
      </c>
      <c r="H166">
        <v>851</v>
      </c>
      <c r="I166">
        <v>43</v>
      </c>
      <c r="J166" t="str">
        <f>IF(Table2[[#This Row],[Age]]&lt;=24, "18 - 24", IF(Table2[[#This Row],[Age]]&lt;=34, "25 - 34", IF(Table2[[#This Row],[Age]]&lt;=44, "35 - 44", IF(Table2[[#This Row],[Age]]&lt;=54, "45 - 54", "55 - 59"))))</f>
        <v>35 - 44</v>
      </c>
      <c r="K166" t="str">
        <f>IF(Table2[[#This Row],[Age]]&lt;=24, "Young Adults", IF(Table2[[#This Row],[Age]]&lt;=34, "Early Career", IF(Table2[[#This Row],[Age]]&lt;=44, "Mid Career", IF(Table2[[#This Row],[Age]]&lt;=54, "Mature Adults", "Pre-retirment"))))</f>
        <v>Mid Career</v>
      </c>
      <c r="L166" t="s">
        <v>15</v>
      </c>
      <c r="M166">
        <v>3</v>
      </c>
      <c r="N166" t="str">
        <f t="shared" si="2"/>
        <v>Moderate User</v>
      </c>
    </row>
    <row r="167" spans="1:14" x14ac:dyDescent="0.25">
      <c r="A167">
        <v>166</v>
      </c>
      <c r="B167" t="s">
        <v>16</v>
      </c>
      <c r="C167" t="s">
        <v>12</v>
      </c>
      <c r="D167">
        <v>540</v>
      </c>
      <c r="E167">
        <v>8.4</v>
      </c>
      <c r="F167">
        <v>2993</v>
      </c>
      <c r="G167">
        <v>98</v>
      </c>
      <c r="H167">
        <v>1540</v>
      </c>
      <c r="I167">
        <v>49</v>
      </c>
      <c r="J167" t="str">
        <f>IF(Table2[[#This Row],[Age]]&lt;=24, "18 - 24", IF(Table2[[#This Row],[Age]]&lt;=34, "25 - 34", IF(Table2[[#This Row],[Age]]&lt;=44, "35 - 44", IF(Table2[[#This Row],[Age]]&lt;=54, "45 - 54", "55 - 59"))))</f>
        <v>45 - 54</v>
      </c>
      <c r="K167" t="str">
        <f>IF(Table2[[#This Row],[Age]]&lt;=24, "Young Adults", IF(Table2[[#This Row],[Age]]&lt;=34, "Early Career", IF(Table2[[#This Row],[Age]]&lt;=44, "Mid Career", IF(Table2[[#This Row],[Age]]&lt;=54, "Mature Adults", "Pre-retirment"))))</f>
        <v>Mature Adults</v>
      </c>
      <c r="L167" t="s">
        <v>15</v>
      </c>
      <c r="M167">
        <v>5</v>
      </c>
      <c r="N167" t="str">
        <f t="shared" si="2"/>
        <v>Heavy User</v>
      </c>
    </row>
    <row r="168" spans="1:14" x14ac:dyDescent="0.25">
      <c r="A168">
        <v>167</v>
      </c>
      <c r="B168" t="s">
        <v>11</v>
      </c>
      <c r="C168" t="s">
        <v>12</v>
      </c>
      <c r="D168">
        <v>595</v>
      </c>
      <c r="E168">
        <v>11.3</v>
      </c>
      <c r="F168">
        <v>2968</v>
      </c>
      <c r="G168">
        <v>88</v>
      </c>
      <c r="H168">
        <v>2366</v>
      </c>
      <c r="I168">
        <v>30</v>
      </c>
      <c r="J168" t="str">
        <f>IF(Table2[[#This Row],[Age]]&lt;=24, "18 - 24", IF(Table2[[#This Row],[Age]]&lt;=34, "25 - 34", IF(Table2[[#This Row],[Age]]&lt;=44, "35 - 44", IF(Table2[[#This Row],[Age]]&lt;=54, "45 - 54", "55 - 59"))))</f>
        <v>25 - 34</v>
      </c>
      <c r="K168" t="str">
        <f>IF(Table2[[#This Row],[Age]]&lt;=24, "Young Adults", IF(Table2[[#This Row],[Age]]&lt;=34, "Early Career", IF(Table2[[#This Row],[Age]]&lt;=44, "Mid Career", IF(Table2[[#This Row],[Age]]&lt;=54, "Mature Adults", "Pre-retirment"))))</f>
        <v>Early Career</v>
      </c>
      <c r="L168" t="s">
        <v>13</v>
      </c>
      <c r="M168">
        <v>5</v>
      </c>
      <c r="N168" t="str">
        <f t="shared" si="2"/>
        <v>Heavy User</v>
      </c>
    </row>
    <row r="169" spans="1:14" x14ac:dyDescent="0.25">
      <c r="A169">
        <v>168</v>
      </c>
      <c r="B169" t="s">
        <v>11</v>
      </c>
      <c r="C169" t="s">
        <v>12</v>
      </c>
      <c r="D169">
        <v>35</v>
      </c>
      <c r="E169">
        <v>1.5</v>
      </c>
      <c r="F169">
        <v>467</v>
      </c>
      <c r="G169">
        <v>10</v>
      </c>
      <c r="H169">
        <v>158</v>
      </c>
      <c r="I169">
        <v>58</v>
      </c>
      <c r="J169" t="str">
        <f>IF(Table2[[#This Row],[Age]]&lt;=24, "18 - 24", IF(Table2[[#This Row],[Age]]&lt;=34, "25 - 34", IF(Table2[[#This Row],[Age]]&lt;=44, "35 - 44", IF(Table2[[#This Row],[Age]]&lt;=54, "45 - 54", "55 - 59"))))</f>
        <v>55 - 59</v>
      </c>
      <c r="K169" t="str">
        <f>IF(Table2[[#This Row],[Age]]&lt;=24, "Young Adults", IF(Table2[[#This Row],[Age]]&lt;=34, "Early Career", IF(Table2[[#This Row],[Age]]&lt;=44, "Mid Career", IF(Table2[[#This Row],[Age]]&lt;=54, "Mature Adults", "Pre-retirment"))))</f>
        <v>Pre-retirment</v>
      </c>
      <c r="L169" t="s">
        <v>13</v>
      </c>
      <c r="M169">
        <v>1</v>
      </c>
      <c r="N169" t="str">
        <f t="shared" si="2"/>
        <v>Light User</v>
      </c>
    </row>
    <row r="170" spans="1:14" x14ac:dyDescent="0.25">
      <c r="A170">
        <v>169</v>
      </c>
      <c r="B170" t="s">
        <v>11</v>
      </c>
      <c r="C170" t="s">
        <v>12</v>
      </c>
      <c r="D170">
        <v>225</v>
      </c>
      <c r="E170">
        <v>5.4</v>
      </c>
      <c r="F170">
        <v>1370</v>
      </c>
      <c r="G170">
        <v>44</v>
      </c>
      <c r="H170">
        <v>791</v>
      </c>
      <c r="I170">
        <v>55</v>
      </c>
      <c r="J170" t="str">
        <f>IF(Table2[[#This Row],[Age]]&lt;=24, "18 - 24", IF(Table2[[#This Row],[Age]]&lt;=34, "25 - 34", IF(Table2[[#This Row],[Age]]&lt;=44, "35 - 44", IF(Table2[[#This Row],[Age]]&lt;=54, "45 - 54", "55 - 59"))))</f>
        <v>55 - 59</v>
      </c>
      <c r="K170" t="str">
        <f>IF(Table2[[#This Row],[Age]]&lt;=24, "Young Adults", IF(Table2[[#This Row],[Age]]&lt;=34, "Early Career", IF(Table2[[#This Row],[Age]]&lt;=44, "Mid Career", IF(Table2[[#This Row],[Age]]&lt;=54, "Mature Adults", "Pre-retirment"))))</f>
        <v>Pre-retirment</v>
      </c>
      <c r="L170" t="s">
        <v>15</v>
      </c>
      <c r="M170">
        <v>3</v>
      </c>
      <c r="N170" t="str">
        <f t="shared" si="2"/>
        <v>Moderate User</v>
      </c>
    </row>
    <row r="171" spans="1:14" x14ac:dyDescent="0.25">
      <c r="A171">
        <v>170</v>
      </c>
      <c r="B171" t="s">
        <v>11</v>
      </c>
      <c r="C171" t="s">
        <v>12</v>
      </c>
      <c r="D171">
        <v>587</v>
      </c>
      <c r="E171">
        <v>11.8</v>
      </c>
      <c r="F171">
        <v>2431</v>
      </c>
      <c r="G171">
        <v>90</v>
      </c>
      <c r="H171">
        <v>1894</v>
      </c>
      <c r="I171">
        <v>47</v>
      </c>
      <c r="J171" t="str">
        <f>IF(Table2[[#This Row],[Age]]&lt;=24, "18 - 24", IF(Table2[[#This Row],[Age]]&lt;=34, "25 - 34", IF(Table2[[#This Row],[Age]]&lt;=44, "35 - 44", IF(Table2[[#This Row],[Age]]&lt;=54, "45 - 54", "55 - 59"))))</f>
        <v>45 - 54</v>
      </c>
      <c r="K171" t="str">
        <f>IF(Table2[[#This Row],[Age]]&lt;=24, "Young Adults", IF(Table2[[#This Row],[Age]]&lt;=34, "Early Career", IF(Table2[[#This Row],[Age]]&lt;=44, "Mid Career", IF(Table2[[#This Row],[Age]]&lt;=54, "Mature Adults", "Pre-retirment"))))</f>
        <v>Mature Adults</v>
      </c>
      <c r="L171" t="s">
        <v>13</v>
      </c>
      <c r="M171">
        <v>5</v>
      </c>
      <c r="N171" t="str">
        <f t="shared" si="2"/>
        <v>Heavy User</v>
      </c>
    </row>
    <row r="172" spans="1:14" x14ac:dyDescent="0.25">
      <c r="A172">
        <v>171</v>
      </c>
      <c r="B172" t="s">
        <v>16</v>
      </c>
      <c r="C172" t="s">
        <v>12</v>
      </c>
      <c r="D172">
        <v>92</v>
      </c>
      <c r="E172">
        <v>3.7</v>
      </c>
      <c r="F172">
        <v>1124</v>
      </c>
      <c r="G172">
        <v>27</v>
      </c>
      <c r="H172">
        <v>524</v>
      </c>
      <c r="I172">
        <v>44</v>
      </c>
      <c r="J172" t="str">
        <f>IF(Table2[[#This Row],[Age]]&lt;=24, "18 - 24", IF(Table2[[#This Row],[Age]]&lt;=34, "25 - 34", IF(Table2[[#This Row],[Age]]&lt;=44, "35 - 44", IF(Table2[[#This Row],[Age]]&lt;=54, "45 - 54", "55 - 59"))))</f>
        <v>35 - 44</v>
      </c>
      <c r="K172" t="str">
        <f>IF(Table2[[#This Row],[Age]]&lt;=24, "Young Adults", IF(Table2[[#This Row],[Age]]&lt;=34, "Early Career", IF(Table2[[#This Row],[Age]]&lt;=44, "Mid Career", IF(Table2[[#This Row],[Age]]&lt;=54, "Mature Adults", "Pre-retirment"))))</f>
        <v>Mid Career</v>
      </c>
      <c r="L172" t="s">
        <v>13</v>
      </c>
      <c r="M172">
        <v>2</v>
      </c>
      <c r="N172" t="str">
        <f t="shared" si="2"/>
        <v>Light User</v>
      </c>
    </row>
    <row r="173" spans="1:14" x14ac:dyDescent="0.25">
      <c r="A173">
        <v>172</v>
      </c>
      <c r="B173" t="s">
        <v>11</v>
      </c>
      <c r="C173" t="s">
        <v>12</v>
      </c>
      <c r="D173">
        <v>46</v>
      </c>
      <c r="E173">
        <v>1.1000000000000001</v>
      </c>
      <c r="F173">
        <v>487</v>
      </c>
      <c r="G173">
        <v>17</v>
      </c>
      <c r="H173">
        <v>208</v>
      </c>
      <c r="I173">
        <v>23</v>
      </c>
      <c r="J173" t="str">
        <f>IF(Table2[[#This Row],[Age]]&lt;=24, "18 - 24", IF(Table2[[#This Row],[Age]]&lt;=34, "25 - 34", IF(Table2[[#This Row],[Age]]&lt;=44, "35 - 44", IF(Table2[[#This Row],[Age]]&lt;=54, "45 - 54", "55 - 59"))))</f>
        <v>18 - 24</v>
      </c>
      <c r="K173" t="str">
        <f>IF(Table2[[#This Row],[Age]]&lt;=24, "Young Adults", IF(Table2[[#This Row],[Age]]&lt;=34, "Early Career", IF(Table2[[#This Row],[Age]]&lt;=44, "Mid Career", IF(Table2[[#This Row],[Age]]&lt;=54, "Mature Adults", "Pre-retirment"))))</f>
        <v>Young Adults</v>
      </c>
      <c r="L173" t="s">
        <v>13</v>
      </c>
      <c r="M173">
        <v>1</v>
      </c>
      <c r="N173" t="str">
        <f t="shared" si="2"/>
        <v>Light User</v>
      </c>
    </row>
    <row r="174" spans="1:14" x14ac:dyDescent="0.25">
      <c r="A174">
        <v>173</v>
      </c>
      <c r="B174" t="s">
        <v>14</v>
      </c>
      <c r="C174" t="s">
        <v>12</v>
      </c>
      <c r="D174">
        <v>153</v>
      </c>
      <c r="E174">
        <v>2.8</v>
      </c>
      <c r="F174">
        <v>935</v>
      </c>
      <c r="G174">
        <v>25</v>
      </c>
      <c r="H174">
        <v>578</v>
      </c>
      <c r="I174">
        <v>37</v>
      </c>
      <c r="J174" t="str">
        <f>IF(Table2[[#This Row],[Age]]&lt;=24, "18 - 24", IF(Table2[[#This Row],[Age]]&lt;=34, "25 - 34", IF(Table2[[#This Row],[Age]]&lt;=44, "35 - 44", IF(Table2[[#This Row],[Age]]&lt;=54, "45 - 54", "55 - 59"))))</f>
        <v>35 - 44</v>
      </c>
      <c r="K174" t="str">
        <f>IF(Table2[[#This Row],[Age]]&lt;=24, "Young Adults", IF(Table2[[#This Row],[Age]]&lt;=34, "Early Career", IF(Table2[[#This Row],[Age]]&lt;=44, "Mid Career", IF(Table2[[#This Row],[Age]]&lt;=54, "Mature Adults", "Pre-retirment"))))</f>
        <v>Mid Career</v>
      </c>
      <c r="L174" t="s">
        <v>15</v>
      </c>
      <c r="M174">
        <v>2</v>
      </c>
      <c r="N174" t="str">
        <f t="shared" si="2"/>
        <v>Light User</v>
      </c>
    </row>
    <row r="175" spans="1:14" x14ac:dyDescent="0.25">
      <c r="A175">
        <v>174</v>
      </c>
      <c r="B175" t="s">
        <v>17</v>
      </c>
      <c r="C175" t="s">
        <v>18</v>
      </c>
      <c r="D175">
        <v>368</v>
      </c>
      <c r="E175">
        <v>6.6</v>
      </c>
      <c r="F175">
        <v>1817</v>
      </c>
      <c r="G175">
        <v>72</v>
      </c>
      <c r="H175">
        <v>1406</v>
      </c>
      <c r="I175">
        <v>27</v>
      </c>
      <c r="J175" t="str">
        <f>IF(Table2[[#This Row],[Age]]&lt;=24, "18 - 24", IF(Table2[[#This Row],[Age]]&lt;=34, "25 - 34", IF(Table2[[#This Row],[Age]]&lt;=44, "35 - 44", IF(Table2[[#This Row],[Age]]&lt;=54, "45 - 54", "55 - 59"))))</f>
        <v>25 - 34</v>
      </c>
      <c r="K175" t="str">
        <f>IF(Table2[[#This Row],[Age]]&lt;=24, "Young Adults", IF(Table2[[#This Row],[Age]]&lt;=34, "Early Career", IF(Table2[[#This Row],[Age]]&lt;=44, "Mid Career", IF(Table2[[#This Row],[Age]]&lt;=54, "Mature Adults", "Pre-retirment"))))</f>
        <v>Early Career</v>
      </c>
      <c r="L175" t="s">
        <v>15</v>
      </c>
      <c r="M175">
        <v>4</v>
      </c>
      <c r="N175" t="str">
        <f t="shared" si="2"/>
        <v>Heavy User</v>
      </c>
    </row>
    <row r="176" spans="1:14" x14ac:dyDescent="0.25">
      <c r="A176">
        <v>175</v>
      </c>
      <c r="B176" t="s">
        <v>16</v>
      </c>
      <c r="C176" t="s">
        <v>12</v>
      </c>
      <c r="D176">
        <v>51</v>
      </c>
      <c r="E176">
        <v>1.6</v>
      </c>
      <c r="F176">
        <v>509</v>
      </c>
      <c r="G176">
        <v>11</v>
      </c>
      <c r="H176">
        <v>113</v>
      </c>
      <c r="I176">
        <v>29</v>
      </c>
      <c r="J176" t="str">
        <f>IF(Table2[[#This Row],[Age]]&lt;=24, "18 - 24", IF(Table2[[#This Row],[Age]]&lt;=34, "25 - 34", IF(Table2[[#This Row],[Age]]&lt;=44, "35 - 44", IF(Table2[[#This Row],[Age]]&lt;=54, "45 - 54", "55 - 59"))))</f>
        <v>25 - 34</v>
      </c>
      <c r="K176" t="str">
        <f>IF(Table2[[#This Row],[Age]]&lt;=24, "Young Adults", IF(Table2[[#This Row],[Age]]&lt;=34, "Early Career", IF(Table2[[#This Row],[Age]]&lt;=44, "Mid Career", IF(Table2[[#This Row],[Age]]&lt;=54, "Mature Adults", "Pre-retirment"))))</f>
        <v>Early Career</v>
      </c>
      <c r="L176" t="s">
        <v>15</v>
      </c>
      <c r="M176">
        <v>1</v>
      </c>
      <c r="N176" t="str">
        <f t="shared" si="2"/>
        <v>Light User</v>
      </c>
    </row>
    <row r="177" spans="1:14" x14ac:dyDescent="0.25">
      <c r="A177">
        <v>176</v>
      </c>
      <c r="B177" t="s">
        <v>11</v>
      </c>
      <c r="C177" t="s">
        <v>12</v>
      </c>
      <c r="D177">
        <v>279</v>
      </c>
      <c r="E177">
        <v>5.2</v>
      </c>
      <c r="F177">
        <v>1660</v>
      </c>
      <c r="G177">
        <v>47</v>
      </c>
      <c r="H177">
        <v>629</v>
      </c>
      <c r="I177">
        <v>50</v>
      </c>
      <c r="J177" t="str">
        <f>IF(Table2[[#This Row],[Age]]&lt;=24, "18 - 24", IF(Table2[[#This Row],[Age]]&lt;=34, "25 - 34", IF(Table2[[#This Row],[Age]]&lt;=44, "35 - 44", IF(Table2[[#This Row],[Age]]&lt;=54, "45 - 54", "55 - 59"))))</f>
        <v>45 - 54</v>
      </c>
      <c r="K177" t="str">
        <f>IF(Table2[[#This Row],[Age]]&lt;=24, "Young Adults", IF(Table2[[#This Row],[Age]]&lt;=34, "Early Career", IF(Table2[[#This Row],[Age]]&lt;=44, "Mid Career", IF(Table2[[#This Row],[Age]]&lt;=54, "Mature Adults", "Pre-retirment"))))</f>
        <v>Mature Adults</v>
      </c>
      <c r="L177" t="s">
        <v>15</v>
      </c>
      <c r="M177">
        <v>3</v>
      </c>
      <c r="N177" t="str">
        <f t="shared" si="2"/>
        <v>Moderate User</v>
      </c>
    </row>
    <row r="178" spans="1:14" x14ac:dyDescent="0.25">
      <c r="A178">
        <v>177</v>
      </c>
      <c r="B178" t="s">
        <v>16</v>
      </c>
      <c r="C178" t="s">
        <v>12</v>
      </c>
      <c r="D178">
        <v>255</v>
      </c>
      <c r="E178">
        <v>5.4</v>
      </c>
      <c r="F178">
        <v>1738</v>
      </c>
      <c r="G178">
        <v>42</v>
      </c>
      <c r="H178">
        <v>826</v>
      </c>
      <c r="I178">
        <v>21</v>
      </c>
      <c r="J178" t="str">
        <f>IF(Table2[[#This Row],[Age]]&lt;=24, "18 - 24", IF(Table2[[#This Row],[Age]]&lt;=34, "25 - 34", IF(Table2[[#This Row],[Age]]&lt;=44, "35 - 44", IF(Table2[[#This Row],[Age]]&lt;=54, "45 - 54", "55 - 59"))))</f>
        <v>18 - 24</v>
      </c>
      <c r="K178" t="str">
        <f>IF(Table2[[#This Row],[Age]]&lt;=24, "Young Adults", IF(Table2[[#This Row],[Age]]&lt;=34, "Early Career", IF(Table2[[#This Row],[Age]]&lt;=44, "Mid Career", IF(Table2[[#This Row],[Age]]&lt;=54, "Mature Adults", "Pre-retirment"))))</f>
        <v>Young Adults</v>
      </c>
      <c r="L178" t="s">
        <v>13</v>
      </c>
      <c r="M178">
        <v>3</v>
      </c>
      <c r="N178" t="str">
        <f t="shared" si="2"/>
        <v>Moderate User</v>
      </c>
    </row>
    <row r="179" spans="1:14" x14ac:dyDescent="0.25">
      <c r="A179">
        <v>178</v>
      </c>
      <c r="B179" t="s">
        <v>19</v>
      </c>
      <c r="C179" t="s">
        <v>12</v>
      </c>
      <c r="D179">
        <v>193</v>
      </c>
      <c r="E179">
        <v>5.7</v>
      </c>
      <c r="F179">
        <v>1471</v>
      </c>
      <c r="G179">
        <v>51</v>
      </c>
      <c r="H179">
        <v>972</v>
      </c>
      <c r="I179">
        <v>31</v>
      </c>
      <c r="J179" t="str">
        <f>IF(Table2[[#This Row],[Age]]&lt;=24, "18 - 24", IF(Table2[[#This Row],[Age]]&lt;=34, "25 - 34", IF(Table2[[#This Row],[Age]]&lt;=44, "35 - 44", IF(Table2[[#This Row],[Age]]&lt;=54, "45 - 54", "55 - 59"))))</f>
        <v>25 - 34</v>
      </c>
      <c r="K179" t="str">
        <f>IF(Table2[[#This Row],[Age]]&lt;=24, "Young Adults", IF(Table2[[#This Row],[Age]]&lt;=34, "Early Career", IF(Table2[[#This Row],[Age]]&lt;=44, "Mid Career", IF(Table2[[#This Row],[Age]]&lt;=54, "Mature Adults", "Pre-retirment"))))</f>
        <v>Early Career</v>
      </c>
      <c r="L179" t="s">
        <v>15</v>
      </c>
      <c r="M179">
        <v>3</v>
      </c>
      <c r="N179" t="str">
        <f t="shared" si="2"/>
        <v>Moderate User</v>
      </c>
    </row>
    <row r="180" spans="1:14" x14ac:dyDescent="0.25">
      <c r="A180">
        <v>179</v>
      </c>
      <c r="B180" t="s">
        <v>16</v>
      </c>
      <c r="C180" t="s">
        <v>12</v>
      </c>
      <c r="D180">
        <v>207</v>
      </c>
      <c r="E180">
        <v>5.7</v>
      </c>
      <c r="F180">
        <v>1582</v>
      </c>
      <c r="G180">
        <v>52</v>
      </c>
      <c r="H180">
        <v>692</v>
      </c>
      <c r="I180">
        <v>38</v>
      </c>
      <c r="J180" t="str">
        <f>IF(Table2[[#This Row],[Age]]&lt;=24, "18 - 24", IF(Table2[[#This Row],[Age]]&lt;=34, "25 - 34", IF(Table2[[#This Row],[Age]]&lt;=44, "35 - 44", IF(Table2[[#This Row],[Age]]&lt;=54, "45 - 54", "55 - 59"))))</f>
        <v>35 - 44</v>
      </c>
      <c r="K180" t="str">
        <f>IF(Table2[[#This Row],[Age]]&lt;=24, "Young Adults", IF(Table2[[#This Row],[Age]]&lt;=34, "Early Career", IF(Table2[[#This Row],[Age]]&lt;=44, "Mid Career", IF(Table2[[#This Row],[Age]]&lt;=54, "Mature Adults", "Pre-retirment"))))</f>
        <v>Mid Career</v>
      </c>
      <c r="L180" t="s">
        <v>13</v>
      </c>
      <c r="M180">
        <v>3</v>
      </c>
      <c r="N180" t="str">
        <f t="shared" si="2"/>
        <v>Moderate User</v>
      </c>
    </row>
    <row r="181" spans="1:14" x14ac:dyDescent="0.25">
      <c r="A181">
        <v>180</v>
      </c>
      <c r="B181" t="s">
        <v>17</v>
      </c>
      <c r="C181" t="s">
        <v>18</v>
      </c>
      <c r="D181">
        <v>539</v>
      </c>
      <c r="E181">
        <v>11.9</v>
      </c>
      <c r="F181">
        <v>2853</v>
      </c>
      <c r="G181">
        <v>83</v>
      </c>
      <c r="H181">
        <v>2007</v>
      </c>
      <c r="I181">
        <v>55</v>
      </c>
      <c r="J181" t="str">
        <f>IF(Table2[[#This Row],[Age]]&lt;=24, "18 - 24", IF(Table2[[#This Row],[Age]]&lt;=34, "25 - 34", IF(Table2[[#This Row],[Age]]&lt;=44, "35 - 44", IF(Table2[[#This Row],[Age]]&lt;=54, "45 - 54", "55 - 59"))))</f>
        <v>55 - 59</v>
      </c>
      <c r="K181" t="str">
        <f>IF(Table2[[#This Row],[Age]]&lt;=24, "Young Adults", IF(Table2[[#This Row],[Age]]&lt;=34, "Early Career", IF(Table2[[#This Row],[Age]]&lt;=44, "Mid Career", IF(Table2[[#This Row],[Age]]&lt;=54, "Mature Adults", "Pre-retirment"))))</f>
        <v>Pre-retirment</v>
      </c>
      <c r="L181" t="s">
        <v>13</v>
      </c>
      <c r="M181">
        <v>5</v>
      </c>
      <c r="N181" t="str">
        <f t="shared" si="2"/>
        <v>Heavy User</v>
      </c>
    </row>
    <row r="182" spans="1:14" x14ac:dyDescent="0.25">
      <c r="A182">
        <v>181</v>
      </c>
      <c r="B182" t="s">
        <v>14</v>
      </c>
      <c r="C182" t="s">
        <v>12</v>
      </c>
      <c r="D182">
        <v>151</v>
      </c>
      <c r="E182">
        <v>2.4</v>
      </c>
      <c r="F182">
        <v>1124</v>
      </c>
      <c r="G182">
        <v>38</v>
      </c>
      <c r="H182">
        <v>571</v>
      </c>
      <c r="I182">
        <v>33</v>
      </c>
      <c r="J182" t="str">
        <f>IF(Table2[[#This Row],[Age]]&lt;=24, "18 - 24", IF(Table2[[#This Row],[Age]]&lt;=34, "25 - 34", IF(Table2[[#This Row],[Age]]&lt;=44, "35 - 44", IF(Table2[[#This Row],[Age]]&lt;=54, "45 - 54", "55 - 59"))))</f>
        <v>25 - 34</v>
      </c>
      <c r="K182" t="str">
        <f>IF(Table2[[#This Row],[Age]]&lt;=24, "Young Adults", IF(Table2[[#This Row],[Age]]&lt;=34, "Early Career", IF(Table2[[#This Row],[Age]]&lt;=44, "Mid Career", IF(Table2[[#This Row],[Age]]&lt;=54, "Mature Adults", "Pre-retirment"))))</f>
        <v>Early Career</v>
      </c>
      <c r="L182" t="s">
        <v>13</v>
      </c>
      <c r="M182">
        <v>2</v>
      </c>
      <c r="N182" t="str">
        <f t="shared" si="2"/>
        <v>Light User</v>
      </c>
    </row>
    <row r="183" spans="1:14" x14ac:dyDescent="0.25">
      <c r="A183">
        <v>182</v>
      </c>
      <c r="B183" t="s">
        <v>11</v>
      </c>
      <c r="C183" t="s">
        <v>12</v>
      </c>
      <c r="D183">
        <v>474</v>
      </c>
      <c r="E183">
        <v>6.4</v>
      </c>
      <c r="F183">
        <v>2109</v>
      </c>
      <c r="G183">
        <v>68</v>
      </c>
      <c r="H183">
        <v>1079</v>
      </c>
      <c r="I183">
        <v>24</v>
      </c>
      <c r="J183" t="str">
        <f>IF(Table2[[#This Row],[Age]]&lt;=24, "18 - 24", IF(Table2[[#This Row],[Age]]&lt;=34, "25 - 34", IF(Table2[[#This Row],[Age]]&lt;=44, "35 - 44", IF(Table2[[#This Row],[Age]]&lt;=54, "45 - 54", "55 - 59"))))</f>
        <v>18 - 24</v>
      </c>
      <c r="K183" t="str">
        <f>IF(Table2[[#This Row],[Age]]&lt;=24, "Young Adults", IF(Table2[[#This Row],[Age]]&lt;=34, "Early Career", IF(Table2[[#This Row],[Age]]&lt;=44, "Mid Career", IF(Table2[[#This Row],[Age]]&lt;=54, "Mature Adults", "Pre-retirment"))))</f>
        <v>Young Adults</v>
      </c>
      <c r="L183" t="s">
        <v>13</v>
      </c>
      <c r="M183">
        <v>4</v>
      </c>
      <c r="N183" t="str">
        <f t="shared" si="2"/>
        <v>Heavy User</v>
      </c>
    </row>
    <row r="184" spans="1:14" x14ac:dyDescent="0.25">
      <c r="A184">
        <v>183</v>
      </c>
      <c r="B184" t="s">
        <v>17</v>
      </c>
      <c r="C184" t="s">
        <v>18</v>
      </c>
      <c r="D184">
        <v>544</v>
      </c>
      <c r="E184">
        <v>9.1999999999999993</v>
      </c>
      <c r="F184">
        <v>2936</v>
      </c>
      <c r="G184">
        <v>83</v>
      </c>
      <c r="H184">
        <v>2416</v>
      </c>
      <c r="I184">
        <v>47</v>
      </c>
      <c r="J184" t="str">
        <f>IF(Table2[[#This Row],[Age]]&lt;=24, "18 - 24", IF(Table2[[#This Row],[Age]]&lt;=34, "25 - 34", IF(Table2[[#This Row],[Age]]&lt;=44, "35 - 44", IF(Table2[[#This Row],[Age]]&lt;=54, "45 - 54", "55 - 59"))))</f>
        <v>45 - 54</v>
      </c>
      <c r="K184" t="str">
        <f>IF(Table2[[#This Row],[Age]]&lt;=24, "Young Adults", IF(Table2[[#This Row],[Age]]&lt;=34, "Early Career", IF(Table2[[#This Row],[Age]]&lt;=44, "Mid Career", IF(Table2[[#This Row],[Age]]&lt;=54, "Mature Adults", "Pre-retirment"))))</f>
        <v>Mature Adults</v>
      </c>
      <c r="L184" t="s">
        <v>15</v>
      </c>
      <c r="M184">
        <v>5</v>
      </c>
      <c r="N184" t="str">
        <f t="shared" si="2"/>
        <v>Heavy User</v>
      </c>
    </row>
    <row r="185" spans="1:14" x14ac:dyDescent="0.25">
      <c r="A185">
        <v>184</v>
      </c>
      <c r="B185" t="s">
        <v>17</v>
      </c>
      <c r="C185" t="s">
        <v>18</v>
      </c>
      <c r="D185">
        <v>73</v>
      </c>
      <c r="E185">
        <v>1.2</v>
      </c>
      <c r="F185">
        <v>308</v>
      </c>
      <c r="G185">
        <v>15</v>
      </c>
      <c r="H185">
        <v>275</v>
      </c>
      <c r="I185">
        <v>39</v>
      </c>
      <c r="J185" t="str">
        <f>IF(Table2[[#This Row],[Age]]&lt;=24, "18 - 24", IF(Table2[[#This Row],[Age]]&lt;=34, "25 - 34", IF(Table2[[#This Row],[Age]]&lt;=44, "35 - 44", IF(Table2[[#This Row],[Age]]&lt;=54, "45 - 54", "55 - 59"))))</f>
        <v>35 - 44</v>
      </c>
      <c r="K185" t="str">
        <f>IF(Table2[[#This Row],[Age]]&lt;=24, "Young Adults", IF(Table2[[#This Row],[Age]]&lt;=34, "Early Career", IF(Table2[[#This Row],[Age]]&lt;=44, "Mid Career", IF(Table2[[#This Row],[Age]]&lt;=54, "Mature Adults", "Pre-retirment"))))</f>
        <v>Mid Career</v>
      </c>
      <c r="L185" t="s">
        <v>15</v>
      </c>
      <c r="M185">
        <v>1</v>
      </c>
      <c r="N185" t="str">
        <f t="shared" si="2"/>
        <v>Light User</v>
      </c>
    </row>
    <row r="186" spans="1:14" x14ac:dyDescent="0.25">
      <c r="A186">
        <v>185</v>
      </c>
      <c r="B186" t="s">
        <v>16</v>
      </c>
      <c r="C186" t="s">
        <v>12</v>
      </c>
      <c r="D186">
        <v>597</v>
      </c>
      <c r="E186">
        <v>10.4</v>
      </c>
      <c r="F186">
        <v>2984</v>
      </c>
      <c r="G186">
        <v>91</v>
      </c>
      <c r="H186">
        <v>1564</v>
      </c>
      <c r="I186">
        <v>34</v>
      </c>
      <c r="J186" t="str">
        <f>IF(Table2[[#This Row],[Age]]&lt;=24, "18 - 24", IF(Table2[[#This Row],[Age]]&lt;=34, "25 - 34", IF(Table2[[#This Row],[Age]]&lt;=44, "35 - 44", IF(Table2[[#This Row],[Age]]&lt;=54, "45 - 54", "55 - 59"))))</f>
        <v>25 - 34</v>
      </c>
      <c r="K186" t="str">
        <f>IF(Table2[[#This Row],[Age]]&lt;=24, "Young Adults", IF(Table2[[#This Row],[Age]]&lt;=34, "Early Career", IF(Table2[[#This Row],[Age]]&lt;=44, "Mid Career", IF(Table2[[#This Row],[Age]]&lt;=54, "Mature Adults", "Pre-retirment"))))</f>
        <v>Early Career</v>
      </c>
      <c r="L186" t="s">
        <v>15</v>
      </c>
      <c r="M186">
        <v>5</v>
      </c>
      <c r="N186" t="str">
        <f t="shared" si="2"/>
        <v>Heavy User</v>
      </c>
    </row>
    <row r="187" spans="1:14" x14ac:dyDescent="0.25">
      <c r="A187">
        <v>186</v>
      </c>
      <c r="B187" t="s">
        <v>11</v>
      </c>
      <c r="C187" t="s">
        <v>12</v>
      </c>
      <c r="D187">
        <v>498</v>
      </c>
      <c r="E187">
        <v>10.7</v>
      </c>
      <c r="F187">
        <v>2738</v>
      </c>
      <c r="G187">
        <v>94</v>
      </c>
      <c r="H187">
        <v>1995</v>
      </c>
      <c r="I187">
        <v>42</v>
      </c>
      <c r="J187" t="str">
        <f>IF(Table2[[#This Row],[Age]]&lt;=24, "18 - 24", IF(Table2[[#This Row],[Age]]&lt;=34, "25 - 34", IF(Table2[[#This Row],[Age]]&lt;=44, "35 - 44", IF(Table2[[#This Row],[Age]]&lt;=54, "45 - 54", "55 - 59"))))</f>
        <v>35 - 44</v>
      </c>
      <c r="K187" t="str">
        <f>IF(Table2[[#This Row],[Age]]&lt;=24, "Young Adults", IF(Table2[[#This Row],[Age]]&lt;=34, "Early Career", IF(Table2[[#This Row],[Age]]&lt;=44, "Mid Career", IF(Table2[[#This Row],[Age]]&lt;=54, "Mature Adults", "Pre-retirment"))))</f>
        <v>Mid Career</v>
      </c>
      <c r="L187" t="s">
        <v>13</v>
      </c>
      <c r="M187">
        <v>5</v>
      </c>
      <c r="N187" t="str">
        <f t="shared" si="2"/>
        <v>Heavy User</v>
      </c>
    </row>
    <row r="188" spans="1:14" x14ac:dyDescent="0.25">
      <c r="A188">
        <v>187</v>
      </c>
      <c r="B188" t="s">
        <v>17</v>
      </c>
      <c r="C188" t="s">
        <v>18</v>
      </c>
      <c r="D188">
        <v>402</v>
      </c>
      <c r="E188">
        <v>7.8</v>
      </c>
      <c r="F188">
        <v>2014</v>
      </c>
      <c r="G188">
        <v>79</v>
      </c>
      <c r="H188">
        <v>1088</v>
      </c>
      <c r="I188">
        <v>34</v>
      </c>
      <c r="J188" t="str">
        <f>IF(Table2[[#This Row],[Age]]&lt;=24, "18 - 24", IF(Table2[[#This Row],[Age]]&lt;=34, "25 - 34", IF(Table2[[#This Row],[Age]]&lt;=44, "35 - 44", IF(Table2[[#This Row],[Age]]&lt;=54, "45 - 54", "55 - 59"))))</f>
        <v>25 - 34</v>
      </c>
      <c r="K188" t="str">
        <f>IF(Table2[[#This Row],[Age]]&lt;=24, "Young Adults", IF(Table2[[#This Row],[Age]]&lt;=34, "Early Career", IF(Table2[[#This Row],[Age]]&lt;=44, "Mid Career", IF(Table2[[#This Row],[Age]]&lt;=54, "Mature Adults", "Pre-retirment"))))</f>
        <v>Early Career</v>
      </c>
      <c r="L188" t="s">
        <v>15</v>
      </c>
      <c r="M188">
        <v>4</v>
      </c>
      <c r="N188" t="str">
        <f t="shared" si="2"/>
        <v>Heavy User</v>
      </c>
    </row>
    <row r="189" spans="1:14" x14ac:dyDescent="0.25">
      <c r="A189">
        <v>188</v>
      </c>
      <c r="B189" t="s">
        <v>14</v>
      </c>
      <c r="C189" t="s">
        <v>12</v>
      </c>
      <c r="D189">
        <v>75</v>
      </c>
      <c r="E189">
        <v>1.1000000000000001</v>
      </c>
      <c r="F189">
        <v>379</v>
      </c>
      <c r="G189">
        <v>15</v>
      </c>
      <c r="H189">
        <v>185</v>
      </c>
      <c r="I189">
        <v>37</v>
      </c>
      <c r="J189" t="str">
        <f>IF(Table2[[#This Row],[Age]]&lt;=24, "18 - 24", IF(Table2[[#This Row],[Age]]&lt;=34, "25 - 34", IF(Table2[[#This Row],[Age]]&lt;=44, "35 - 44", IF(Table2[[#This Row],[Age]]&lt;=54, "45 - 54", "55 - 59"))))</f>
        <v>35 - 44</v>
      </c>
      <c r="K189" t="str">
        <f>IF(Table2[[#This Row],[Age]]&lt;=24, "Young Adults", IF(Table2[[#This Row],[Age]]&lt;=34, "Early Career", IF(Table2[[#This Row],[Age]]&lt;=44, "Mid Career", IF(Table2[[#This Row],[Age]]&lt;=54, "Mature Adults", "Pre-retirment"))))</f>
        <v>Mid Career</v>
      </c>
      <c r="L189" t="s">
        <v>13</v>
      </c>
      <c r="M189">
        <v>1</v>
      </c>
      <c r="N189" t="str">
        <f t="shared" si="2"/>
        <v>Light User</v>
      </c>
    </row>
    <row r="190" spans="1:14" x14ac:dyDescent="0.25">
      <c r="A190">
        <v>189</v>
      </c>
      <c r="B190" t="s">
        <v>17</v>
      </c>
      <c r="C190" t="s">
        <v>18</v>
      </c>
      <c r="D190">
        <v>130</v>
      </c>
      <c r="E190">
        <v>2</v>
      </c>
      <c r="F190">
        <v>602</v>
      </c>
      <c r="G190">
        <v>21</v>
      </c>
      <c r="H190">
        <v>589</v>
      </c>
      <c r="I190">
        <v>30</v>
      </c>
      <c r="J190" t="str">
        <f>IF(Table2[[#This Row],[Age]]&lt;=24, "18 - 24", IF(Table2[[#This Row],[Age]]&lt;=34, "25 - 34", IF(Table2[[#This Row],[Age]]&lt;=44, "35 - 44", IF(Table2[[#This Row],[Age]]&lt;=54, "45 - 54", "55 - 59"))))</f>
        <v>25 - 34</v>
      </c>
      <c r="K190" t="str">
        <f>IF(Table2[[#This Row],[Age]]&lt;=24, "Young Adults", IF(Table2[[#This Row],[Age]]&lt;=34, "Early Career", IF(Table2[[#This Row],[Age]]&lt;=44, "Mid Career", IF(Table2[[#This Row],[Age]]&lt;=54, "Mature Adults", "Pre-retirment"))))</f>
        <v>Early Career</v>
      </c>
      <c r="L190" t="s">
        <v>15</v>
      </c>
      <c r="M190">
        <v>2</v>
      </c>
      <c r="N190" t="str">
        <f t="shared" si="2"/>
        <v>Light User</v>
      </c>
    </row>
    <row r="191" spans="1:14" x14ac:dyDescent="0.25">
      <c r="A191">
        <v>190</v>
      </c>
      <c r="B191" t="s">
        <v>19</v>
      </c>
      <c r="C191" t="s">
        <v>12</v>
      </c>
      <c r="D191">
        <v>42</v>
      </c>
      <c r="E191">
        <v>1.1000000000000001</v>
      </c>
      <c r="F191">
        <v>402</v>
      </c>
      <c r="G191">
        <v>11</v>
      </c>
      <c r="H191">
        <v>265</v>
      </c>
      <c r="I191">
        <v>32</v>
      </c>
      <c r="J191" t="str">
        <f>IF(Table2[[#This Row],[Age]]&lt;=24, "18 - 24", IF(Table2[[#This Row],[Age]]&lt;=34, "25 - 34", IF(Table2[[#This Row],[Age]]&lt;=44, "35 - 44", IF(Table2[[#This Row],[Age]]&lt;=54, "45 - 54", "55 - 59"))))</f>
        <v>25 - 34</v>
      </c>
      <c r="K191" t="str">
        <f>IF(Table2[[#This Row],[Age]]&lt;=24, "Young Adults", IF(Table2[[#This Row],[Age]]&lt;=34, "Early Career", IF(Table2[[#This Row],[Age]]&lt;=44, "Mid Career", IF(Table2[[#This Row],[Age]]&lt;=54, "Mature Adults", "Pre-retirment"))))</f>
        <v>Early Career</v>
      </c>
      <c r="L191" t="s">
        <v>15</v>
      </c>
      <c r="M191">
        <v>1</v>
      </c>
      <c r="N191" t="str">
        <f t="shared" si="2"/>
        <v>Light User</v>
      </c>
    </row>
    <row r="192" spans="1:14" x14ac:dyDescent="0.25">
      <c r="A192">
        <v>191</v>
      </c>
      <c r="B192" t="s">
        <v>17</v>
      </c>
      <c r="C192" t="s">
        <v>18</v>
      </c>
      <c r="D192">
        <v>134</v>
      </c>
      <c r="E192">
        <v>2.2000000000000002</v>
      </c>
      <c r="F192">
        <v>917</v>
      </c>
      <c r="G192">
        <v>23</v>
      </c>
      <c r="H192">
        <v>423</v>
      </c>
      <c r="I192">
        <v>23</v>
      </c>
      <c r="J192" t="str">
        <f>IF(Table2[[#This Row],[Age]]&lt;=24, "18 - 24", IF(Table2[[#This Row],[Age]]&lt;=34, "25 - 34", IF(Table2[[#This Row],[Age]]&lt;=44, "35 - 44", IF(Table2[[#This Row],[Age]]&lt;=54, "45 - 54", "55 - 59"))))</f>
        <v>18 - 24</v>
      </c>
      <c r="K192" t="str">
        <f>IF(Table2[[#This Row],[Age]]&lt;=24, "Young Adults", IF(Table2[[#This Row],[Age]]&lt;=34, "Early Career", IF(Table2[[#This Row],[Age]]&lt;=44, "Mid Career", IF(Table2[[#This Row],[Age]]&lt;=54, "Mature Adults", "Pre-retirment"))))</f>
        <v>Young Adults</v>
      </c>
      <c r="L192" t="s">
        <v>13</v>
      </c>
      <c r="M192">
        <v>2</v>
      </c>
      <c r="N192" t="str">
        <f t="shared" si="2"/>
        <v>Light User</v>
      </c>
    </row>
    <row r="193" spans="1:14" x14ac:dyDescent="0.25">
      <c r="A193">
        <v>192</v>
      </c>
      <c r="B193" t="s">
        <v>11</v>
      </c>
      <c r="C193" t="s">
        <v>12</v>
      </c>
      <c r="D193">
        <v>79</v>
      </c>
      <c r="E193">
        <v>1.9</v>
      </c>
      <c r="F193">
        <v>477</v>
      </c>
      <c r="G193">
        <v>13</v>
      </c>
      <c r="H193">
        <v>161</v>
      </c>
      <c r="I193">
        <v>24</v>
      </c>
      <c r="J193" t="str">
        <f>IF(Table2[[#This Row],[Age]]&lt;=24, "18 - 24", IF(Table2[[#This Row],[Age]]&lt;=34, "25 - 34", IF(Table2[[#This Row],[Age]]&lt;=44, "35 - 44", IF(Table2[[#This Row],[Age]]&lt;=54, "45 - 54", "55 - 59"))))</f>
        <v>18 - 24</v>
      </c>
      <c r="K193" t="str">
        <f>IF(Table2[[#This Row],[Age]]&lt;=24, "Young Adults", IF(Table2[[#This Row],[Age]]&lt;=34, "Early Career", IF(Table2[[#This Row],[Age]]&lt;=44, "Mid Career", IF(Table2[[#This Row],[Age]]&lt;=54, "Mature Adults", "Pre-retirment"))))</f>
        <v>Young Adults</v>
      </c>
      <c r="L193" t="s">
        <v>13</v>
      </c>
      <c r="M193">
        <v>1</v>
      </c>
      <c r="N193" t="str">
        <f t="shared" si="2"/>
        <v>Light User</v>
      </c>
    </row>
    <row r="194" spans="1:14" x14ac:dyDescent="0.25">
      <c r="A194">
        <v>193</v>
      </c>
      <c r="B194" t="s">
        <v>17</v>
      </c>
      <c r="C194" t="s">
        <v>18</v>
      </c>
      <c r="D194">
        <v>432</v>
      </c>
      <c r="E194">
        <v>7.2</v>
      </c>
      <c r="F194">
        <v>1822</v>
      </c>
      <c r="G194">
        <v>63</v>
      </c>
      <c r="H194">
        <v>1127</v>
      </c>
      <c r="I194">
        <v>59</v>
      </c>
      <c r="J194" t="str">
        <f>IF(Table2[[#This Row],[Age]]&lt;=24, "18 - 24", IF(Table2[[#This Row],[Age]]&lt;=34, "25 - 34", IF(Table2[[#This Row],[Age]]&lt;=44, "35 - 44", IF(Table2[[#This Row],[Age]]&lt;=54, "45 - 54", "55 - 59"))))</f>
        <v>55 - 59</v>
      </c>
      <c r="K194" t="str">
        <f>IF(Table2[[#This Row],[Age]]&lt;=24, "Young Adults", IF(Table2[[#This Row],[Age]]&lt;=34, "Early Career", IF(Table2[[#This Row],[Age]]&lt;=44, "Mid Career", IF(Table2[[#This Row],[Age]]&lt;=54, "Mature Adults", "Pre-retirment"))))</f>
        <v>Pre-retirment</v>
      </c>
      <c r="L194" t="s">
        <v>15</v>
      </c>
      <c r="M194">
        <v>4</v>
      </c>
      <c r="N194" t="str">
        <f t="shared" si="2"/>
        <v>Heavy User</v>
      </c>
    </row>
    <row r="195" spans="1:14" x14ac:dyDescent="0.25">
      <c r="A195">
        <v>194</v>
      </c>
      <c r="B195" t="s">
        <v>17</v>
      </c>
      <c r="C195" t="s">
        <v>18</v>
      </c>
      <c r="D195">
        <v>262</v>
      </c>
      <c r="E195">
        <v>4.0999999999999996</v>
      </c>
      <c r="F195">
        <v>1287</v>
      </c>
      <c r="G195">
        <v>52</v>
      </c>
      <c r="H195">
        <v>997</v>
      </c>
      <c r="I195">
        <v>36</v>
      </c>
      <c r="J195" t="str">
        <f>IF(Table2[[#This Row],[Age]]&lt;=24, "18 - 24", IF(Table2[[#This Row],[Age]]&lt;=34, "25 - 34", IF(Table2[[#This Row],[Age]]&lt;=44, "35 - 44", IF(Table2[[#This Row],[Age]]&lt;=54, "45 - 54", "55 - 59"))))</f>
        <v>35 - 44</v>
      </c>
      <c r="K195" t="str">
        <f>IF(Table2[[#This Row],[Age]]&lt;=24, "Young Adults", IF(Table2[[#This Row],[Age]]&lt;=34, "Early Career", IF(Table2[[#This Row],[Age]]&lt;=44, "Mid Career", IF(Table2[[#This Row],[Age]]&lt;=54, "Mature Adults", "Pre-retirment"))))</f>
        <v>Mid Career</v>
      </c>
      <c r="L195" t="s">
        <v>13</v>
      </c>
      <c r="M195">
        <v>3</v>
      </c>
      <c r="N195" t="str">
        <f t="shared" ref="N195:N258" si="3">IF(M195&lt;=2, "Light User", IF(M195=3, "Moderate User", "Heavy User"))</f>
        <v>Moderate User</v>
      </c>
    </row>
    <row r="196" spans="1:14" x14ac:dyDescent="0.25">
      <c r="A196">
        <v>195</v>
      </c>
      <c r="B196" t="s">
        <v>19</v>
      </c>
      <c r="C196" t="s">
        <v>12</v>
      </c>
      <c r="D196">
        <v>473</v>
      </c>
      <c r="E196">
        <v>6.4</v>
      </c>
      <c r="F196">
        <v>2109</v>
      </c>
      <c r="G196">
        <v>79</v>
      </c>
      <c r="H196">
        <v>1300</v>
      </c>
      <c r="I196">
        <v>23</v>
      </c>
      <c r="J196" t="str">
        <f>IF(Table2[[#This Row],[Age]]&lt;=24, "18 - 24", IF(Table2[[#This Row],[Age]]&lt;=34, "25 - 34", IF(Table2[[#This Row],[Age]]&lt;=44, "35 - 44", IF(Table2[[#This Row],[Age]]&lt;=54, "45 - 54", "55 - 59"))))</f>
        <v>18 - 24</v>
      </c>
      <c r="K196" t="str">
        <f>IF(Table2[[#This Row],[Age]]&lt;=24, "Young Adults", IF(Table2[[#This Row],[Age]]&lt;=34, "Early Career", IF(Table2[[#This Row],[Age]]&lt;=44, "Mid Career", IF(Table2[[#This Row],[Age]]&lt;=54, "Mature Adults", "Pre-retirment"))))</f>
        <v>Young Adults</v>
      </c>
      <c r="L196" t="s">
        <v>15</v>
      </c>
      <c r="M196">
        <v>4</v>
      </c>
      <c r="N196" t="str">
        <f t="shared" si="3"/>
        <v>Heavy User</v>
      </c>
    </row>
    <row r="197" spans="1:14" x14ac:dyDescent="0.25">
      <c r="A197">
        <v>196</v>
      </c>
      <c r="B197" t="s">
        <v>11</v>
      </c>
      <c r="C197" t="s">
        <v>12</v>
      </c>
      <c r="D197">
        <v>202</v>
      </c>
      <c r="E197">
        <v>4.7</v>
      </c>
      <c r="F197">
        <v>1512</v>
      </c>
      <c r="G197">
        <v>49</v>
      </c>
      <c r="H197">
        <v>659</v>
      </c>
      <c r="I197">
        <v>45</v>
      </c>
      <c r="J197" t="str">
        <f>IF(Table2[[#This Row],[Age]]&lt;=24, "18 - 24", IF(Table2[[#This Row],[Age]]&lt;=34, "25 - 34", IF(Table2[[#This Row],[Age]]&lt;=44, "35 - 44", IF(Table2[[#This Row],[Age]]&lt;=54, "45 - 54", "55 - 59"))))</f>
        <v>45 - 54</v>
      </c>
      <c r="K197" t="str">
        <f>IF(Table2[[#This Row],[Age]]&lt;=24, "Young Adults", IF(Table2[[#This Row],[Age]]&lt;=34, "Early Career", IF(Table2[[#This Row],[Age]]&lt;=44, "Mid Career", IF(Table2[[#This Row],[Age]]&lt;=54, "Mature Adults", "Pre-retirment"))))</f>
        <v>Mature Adults</v>
      </c>
      <c r="L197" t="s">
        <v>15</v>
      </c>
      <c r="M197">
        <v>3</v>
      </c>
      <c r="N197" t="str">
        <f t="shared" si="3"/>
        <v>Moderate User</v>
      </c>
    </row>
    <row r="198" spans="1:14" x14ac:dyDescent="0.25">
      <c r="A198">
        <v>197</v>
      </c>
      <c r="B198" t="s">
        <v>14</v>
      </c>
      <c r="C198" t="s">
        <v>12</v>
      </c>
      <c r="D198">
        <v>215</v>
      </c>
      <c r="E198">
        <v>4.4000000000000004</v>
      </c>
      <c r="F198">
        <v>1407</v>
      </c>
      <c r="G198">
        <v>41</v>
      </c>
      <c r="H198">
        <v>991</v>
      </c>
      <c r="I198">
        <v>47</v>
      </c>
      <c r="J198" t="str">
        <f>IF(Table2[[#This Row],[Age]]&lt;=24, "18 - 24", IF(Table2[[#This Row],[Age]]&lt;=34, "25 - 34", IF(Table2[[#This Row],[Age]]&lt;=44, "35 - 44", IF(Table2[[#This Row],[Age]]&lt;=54, "45 - 54", "55 - 59"))))</f>
        <v>45 - 54</v>
      </c>
      <c r="K198" t="str">
        <f>IF(Table2[[#This Row],[Age]]&lt;=24, "Young Adults", IF(Table2[[#This Row],[Age]]&lt;=34, "Early Career", IF(Table2[[#This Row],[Age]]&lt;=44, "Mid Career", IF(Table2[[#This Row],[Age]]&lt;=54, "Mature Adults", "Pre-retirment"))))</f>
        <v>Mature Adults</v>
      </c>
      <c r="L198" t="s">
        <v>13</v>
      </c>
      <c r="M198">
        <v>3</v>
      </c>
      <c r="N198" t="str">
        <f t="shared" si="3"/>
        <v>Moderate User</v>
      </c>
    </row>
    <row r="199" spans="1:14" x14ac:dyDescent="0.25">
      <c r="A199">
        <v>198</v>
      </c>
      <c r="B199" t="s">
        <v>14</v>
      </c>
      <c r="C199" t="s">
        <v>12</v>
      </c>
      <c r="D199">
        <v>151</v>
      </c>
      <c r="E199">
        <v>3.7</v>
      </c>
      <c r="F199">
        <v>1116</v>
      </c>
      <c r="G199">
        <v>32</v>
      </c>
      <c r="H199">
        <v>320</v>
      </c>
      <c r="I199">
        <v>41</v>
      </c>
      <c r="J199" t="str">
        <f>IF(Table2[[#This Row],[Age]]&lt;=24, "18 - 24", IF(Table2[[#This Row],[Age]]&lt;=34, "25 - 34", IF(Table2[[#This Row],[Age]]&lt;=44, "35 - 44", IF(Table2[[#This Row],[Age]]&lt;=54, "45 - 54", "55 - 59"))))</f>
        <v>35 - 44</v>
      </c>
      <c r="K199" t="str">
        <f>IF(Table2[[#This Row],[Age]]&lt;=24, "Young Adults", IF(Table2[[#This Row],[Age]]&lt;=34, "Early Career", IF(Table2[[#This Row],[Age]]&lt;=44, "Mid Career", IF(Table2[[#This Row],[Age]]&lt;=54, "Mature Adults", "Pre-retirment"))))</f>
        <v>Mid Career</v>
      </c>
      <c r="L199" t="s">
        <v>15</v>
      </c>
      <c r="M199">
        <v>2</v>
      </c>
      <c r="N199" t="str">
        <f t="shared" si="3"/>
        <v>Light User</v>
      </c>
    </row>
    <row r="200" spans="1:14" x14ac:dyDescent="0.25">
      <c r="A200">
        <v>199</v>
      </c>
      <c r="B200" t="s">
        <v>14</v>
      </c>
      <c r="C200" t="s">
        <v>12</v>
      </c>
      <c r="D200">
        <v>80</v>
      </c>
      <c r="E200">
        <v>1.6</v>
      </c>
      <c r="F200">
        <v>549</v>
      </c>
      <c r="G200">
        <v>14</v>
      </c>
      <c r="H200">
        <v>197</v>
      </c>
      <c r="I200">
        <v>19</v>
      </c>
      <c r="J200" t="str">
        <f>IF(Table2[[#This Row],[Age]]&lt;=24, "18 - 24", IF(Table2[[#This Row],[Age]]&lt;=34, "25 - 34", IF(Table2[[#This Row],[Age]]&lt;=44, "35 - 44", IF(Table2[[#This Row],[Age]]&lt;=54, "45 - 54", "55 - 59"))))</f>
        <v>18 - 24</v>
      </c>
      <c r="K200" t="str">
        <f>IF(Table2[[#This Row],[Age]]&lt;=24, "Young Adults", IF(Table2[[#This Row],[Age]]&lt;=34, "Early Career", IF(Table2[[#This Row],[Age]]&lt;=44, "Mid Career", IF(Table2[[#This Row],[Age]]&lt;=54, "Mature Adults", "Pre-retirment"))))</f>
        <v>Young Adults</v>
      </c>
      <c r="L200" t="s">
        <v>13</v>
      </c>
      <c r="M200">
        <v>1</v>
      </c>
      <c r="N200" t="str">
        <f t="shared" si="3"/>
        <v>Light User</v>
      </c>
    </row>
    <row r="201" spans="1:14" x14ac:dyDescent="0.25">
      <c r="A201">
        <v>200</v>
      </c>
      <c r="B201" t="s">
        <v>16</v>
      </c>
      <c r="C201" t="s">
        <v>12</v>
      </c>
      <c r="D201">
        <v>126</v>
      </c>
      <c r="E201">
        <v>2.8</v>
      </c>
      <c r="F201">
        <v>971</v>
      </c>
      <c r="G201">
        <v>32</v>
      </c>
      <c r="H201">
        <v>431</v>
      </c>
      <c r="I201">
        <v>35</v>
      </c>
      <c r="J201" t="str">
        <f>IF(Table2[[#This Row],[Age]]&lt;=24, "18 - 24", IF(Table2[[#This Row],[Age]]&lt;=34, "25 - 34", IF(Table2[[#This Row],[Age]]&lt;=44, "35 - 44", IF(Table2[[#This Row],[Age]]&lt;=54, "45 - 54", "55 - 59"))))</f>
        <v>35 - 44</v>
      </c>
      <c r="K201" t="str">
        <f>IF(Table2[[#This Row],[Age]]&lt;=24, "Young Adults", IF(Table2[[#This Row],[Age]]&lt;=34, "Early Career", IF(Table2[[#This Row],[Age]]&lt;=44, "Mid Career", IF(Table2[[#This Row],[Age]]&lt;=54, "Mature Adults", "Pre-retirment"))))</f>
        <v>Mid Career</v>
      </c>
      <c r="L201" t="s">
        <v>15</v>
      </c>
      <c r="M201">
        <v>2</v>
      </c>
      <c r="N201" t="str">
        <f t="shared" si="3"/>
        <v>Light User</v>
      </c>
    </row>
    <row r="202" spans="1:14" x14ac:dyDescent="0.25">
      <c r="A202">
        <v>201</v>
      </c>
      <c r="B202" t="s">
        <v>19</v>
      </c>
      <c r="C202" t="s">
        <v>12</v>
      </c>
      <c r="D202">
        <v>495</v>
      </c>
      <c r="E202">
        <v>8.9</v>
      </c>
      <c r="F202">
        <v>2920</v>
      </c>
      <c r="G202">
        <v>84</v>
      </c>
      <c r="H202">
        <v>2252</v>
      </c>
      <c r="I202">
        <v>31</v>
      </c>
      <c r="J202" t="str">
        <f>IF(Table2[[#This Row],[Age]]&lt;=24, "18 - 24", IF(Table2[[#This Row],[Age]]&lt;=34, "25 - 34", IF(Table2[[#This Row],[Age]]&lt;=44, "35 - 44", IF(Table2[[#This Row],[Age]]&lt;=54, "45 - 54", "55 - 59"))))</f>
        <v>25 - 34</v>
      </c>
      <c r="K202" t="str">
        <f>IF(Table2[[#This Row],[Age]]&lt;=24, "Young Adults", IF(Table2[[#This Row],[Age]]&lt;=34, "Early Career", IF(Table2[[#This Row],[Age]]&lt;=44, "Mid Career", IF(Table2[[#This Row],[Age]]&lt;=54, "Mature Adults", "Pre-retirment"))))</f>
        <v>Early Career</v>
      </c>
      <c r="L202" t="s">
        <v>15</v>
      </c>
      <c r="M202">
        <v>5</v>
      </c>
      <c r="N202" t="str">
        <f t="shared" si="3"/>
        <v>Heavy User</v>
      </c>
    </row>
    <row r="203" spans="1:14" x14ac:dyDescent="0.25">
      <c r="A203">
        <v>202</v>
      </c>
      <c r="B203" t="s">
        <v>17</v>
      </c>
      <c r="C203" t="s">
        <v>18</v>
      </c>
      <c r="D203">
        <v>127</v>
      </c>
      <c r="E203">
        <v>3.7</v>
      </c>
      <c r="F203">
        <v>1153</v>
      </c>
      <c r="G203">
        <v>35</v>
      </c>
      <c r="H203">
        <v>314</v>
      </c>
      <c r="I203">
        <v>37</v>
      </c>
      <c r="J203" t="str">
        <f>IF(Table2[[#This Row],[Age]]&lt;=24, "18 - 24", IF(Table2[[#This Row],[Age]]&lt;=34, "25 - 34", IF(Table2[[#This Row],[Age]]&lt;=44, "35 - 44", IF(Table2[[#This Row],[Age]]&lt;=54, "45 - 54", "55 - 59"))))</f>
        <v>35 - 44</v>
      </c>
      <c r="K203" t="str">
        <f>IF(Table2[[#This Row],[Age]]&lt;=24, "Young Adults", IF(Table2[[#This Row],[Age]]&lt;=34, "Early Career", IF(Table2[[#This Row],[Age]]&lt;=44, "Mid Career", IF(Table2[[#This Row],[Age]]&lt;=54, "Mature Adults", "Pre-retirment"))))</f>
        <v>Mid Career</v>
      </c>
      <c r="L203" t="s">
        <v>15</v>
      </c>
      <c r="M203">
        <v>2</v>
      </c>
      <c r="N203" t="str">
        <f t="shared" si="3"/>
        <v>Light User</v>
      </c>
    </row>
    <row r="204" spans="1:14" x14ac:dyDescent="0.25">
      <c r="A204">
        <v>203</v>
      </c>
      <c r="B204" t="s">
        <v>16</v>
      </c>
      <c r="C204" t="s">
        <v>12</v>
      </c>
      <c r="D204">
        <v>88</v>
      </c>
      <c r="E204">
        <v>1.3</v>
      </c>
      <c r="F204">
        <v>327</v>
      </c>
      <c r="G204">
        <v>11</v>
      </c>
      <c r="H204">
        <v>262</v>
      </c>
      <c r="I204">
        <v>22</v>
      </c>
      <c r="J204" t="str">
        <f>IF(Table2[[#This Row],[Age]]&lt;=24, "18 - 24", IF(Table2[[#This Row],[Age]]&lt;=34, "25 - 34", IF(Table2[[#This Row],[Age]]&lt;=44, "35 - 44", IF(Table2[[#This Row],[Age]]&lt;=54, "45 - 54", "55 - 59"))))</f>
        <v>18 - 24</v>
      </c>
      <c r="K204" t="str">
        <f>IF(Table2[[#This Row],[Age]]&lt;=24, "Young Adults", IF(Table2[[#This Row],[Age]]&lt;=34, "Early Career", IF(Table2[[#This Row],[Age]]&lt;=44, "Mid Career", IF(Table2[[#This Row],[Age]]&lt;=54, "Mature Adults", "Pre-retirment"))))</f>
        <v>Young Adults</v>
      </c>
      <c r="L204" t="s">
        <v>13</v>
      </c>
      <c r="M204">
        <v>1</v>
      </c>
      <c r="N204" t="str">
        <f t="shared" si="3"/>
        <v>Light User</v>
      </c>
    </row>
    <row r="205" spans="1:14" x14ac:dyDescent="0.25">
      <c r="A205">
        <v>204</v>
      </c>
      <c r="B205" t="s">
        <v>11</v>
      </c>
      <c r="C205" t="s">
        <v>12</v>
      </c>
      <c r="D205">
        <v>69</v>
      </c>
      <c r="E205">
        <v>1.6</v>
      </c>
      <c r="F205">
        <v>463</v>
      </c>
      <c r="G205">
        <v>16</v>
      </c>
      <c r="H205">
        <v>146</v>
      </c>
      <c r="I205">
        <v>27</v>
      </c>
      <c r="J205" t="str">
        <f>IF(Table2[[#This Row],[Age]]&lt;=24, "18 - 24", IF(Table2[[#This Row],[Age]]&lt;=34, "25 - 34", IF(Table2[[#This Row],[Age]]&lt;=44, "35 - 44", IF(Table2[[#This Row],[Age]]&lt;=54, "45 - 54", "55 - 59"))))</f>
        <v>25 - 34</v>
      </c>
      <c r="K205" t="str">
        <f>IF(Table2[[#This Row],[Age]]&lt;=24, "Young Adults", IF(Table2[[#This Row],[Age]]&lt;=34, "Early Career", IF(Table2[[#This Row],[Age]]&lt;=44, "Mid Career", IF(Table2[[#This Row],[Age]]&lt;=54, "Mature Adults", "Pre-retirment"))))</f>
        <v>Early Career</v>
      </c>
      <c r="L205" t="s">
        <v>13</v>
      </c>
      <c r="M205">
        <v>1</v>
      </c>
      <c r="N205" t="str">
        <f t="shared" si="3"/>
        <v>Light User</v>
      </c>
    </row>
    <row r="206" spans="1:14" x14ac:dyDescent="0.25">
      <c r="A206">
        <v>205</v>
      </c>
      <c r="B206" t="s">
        <v>14</v>
      </c>
      <c r="C206" t="s">
        <v>12</v>
      </c>
      <c r="D206">
        <v>100</v>
      </c>
      <c r="E206">
        <v>3.3</v>
      </c>
      <c r="F206">
        <v>961</v>
      </c>
      <c r="G206">
        <v>21</v>
      </c>
      <c r="H206">
        <v>433</v>
      </c>
      <c r="I206">
        <v>25</v>
      </c>
      <c r="J206" t="str">
        <f>IF(Table2[[#This Row],[Age]]&lt;=24, "18 - 24", IF(Table2[[#This Row],[Age]]&lt;=34, "25 - 34", IF(Table2[[#This Row],[Age]]&lt;=44, "35 - 44", IF(Table2[[#This Row],[Age]]&lt;=54, "45 - 54", "55 - 59"))))</f>
        <v>25 - 34</v>
      </c>
      <c r="K206" t="str">
        <f>IF(Table2[[#This Row],[Age]]&lt;=24, "Young Adults", IF(Table2[[#This Row],[Age]]&lt;=34, "Early Career", IF(Table2[[#This Row],[Age]]&lt;=44, "Mid Career", IF(Table2[[#This Row],[Age]]&lt;=54, "Mature Adults", "Pre-retirment"))))</f>
        <v>Early Career</v>
      </c>
      <c r="L206" t="s">
        <v>13</v>
      </c>
      <c r="M206">
        <v>2</v>
      </c>
      <c r="N206" t="str">
        <f t="shared" si="3"/>
        <v>Light User</v>
      </c>
    </row>
    <row r="207" spans="1:14" x14ac:dyDescent="0.25">
      <c r="A207">
        <v>206</v>
      </c>
      <c r="B207" t="s">
        <v>16</v>
      </c>
      <c r="C207" t="s">
        <v>12</v>
      </c>
      <c r="D207">
        <v>301</v>
      </c>
      <c r="E207">
        <v>6.5</v>
      </c>
      <c r="F207">
        <v>2084</v>
      </c>
      <c r="G207">
        <v>71</v>
      </c>
      <c r="H207">
        <v>1421</v>
      </c>
      <c r="I207">
        <v>29</v>
      </c>
      <c r="J207" t="str">
        <f>IF(Table2[[#This Row],[Age]]&lt;=24, "18 - 24", IF(Table2[[#This Row],[Age]]&lt;=34, "25 - 34", IF(Table2[[#This Row],[Age]]&lt;=44, "35 - 44", IF(Table2[[#This Row],[Age]]&lt;=54, "45 - 54", "55 - 59"))))</f>
        <v>25 - 34</v>
      </c>
      <c r="K207" t="str">
        <f>IF(Table2[[#This Row],[Age]]&lt;=24, "Young Adults", IF(Table2[[#This Row],[Age]]&lt;=34, "Early Career", IF(Table2[[#This Row],[Age]]&lt;=44, "Mid Career", IF(Table2[[#This Row],[Age]]&lt;=54, "Mature Adults", "Pre-retirment"))))</f>
        <v>Early Career</v>
      </c>
      <c r="L207" t="s">
        <v>13</v>
      </c>
      <c r="M207">
        <v>4</v>
      </c>
      <c r="N207" t="str">
        <f t="shared" si="3"/>
        <v>Heavy User</v>
      </c>
    </row>
    <row r="208" spans="1:14" x14ac:dyDescent="0.25">
      <c r="A208">
        <v>207</v>
      </c>
      <c r="B208" t="s">
        <v>11</v>
      </c>
      <c r="C208" t="s">
        <v>12</v>
      </c>
      <c r="D208">
        <v>78</v>
      </c>
      <c r="E208">
        <v>1.7</v>
      </c>
      <c r="F208">
        <v>455</v>
      </c>
      <c r="G208">
        <v>15</v>
      </c>
      <c r="H208">
        <v>207</v>
      </c>
      <c r="I208">
        <v>37</v>
      </c>
      <c r="J208" t="str">
        <f>IF(Table2[[#This Row],[Age]]&lt;=24, "18 - 24", IF(Table2[[#This Row],[Age]]&lt;=34, "25 - 34", IF(Table2[[#This Row],[Age]]&lt;=44, "35 - 44", IF(Table2[[#This Row],[Age]]&lt;=54, "45 - 54", "55 - 59"))))</f>
        <v>35 - 44</v>
      </c>
      <c r="K208" t="str">
        <f>IF(Table2[[#This Row],[Age]]&lt;=24, "Young Adults", IF(Table2[[#This Row],[Age]]&lt;=34, "Early Career", IF(Table2[[#This Row],[Age]]&lt;=44, "Mid Career", IF(Table2[[#This Row],[Age]]&lt;=54, "Mature Adults", "Pre-retirment"))))</f>
        <v>Mid Career</v>
      </c>
      <c r="L208" t="s">
        <v>15</v>
      </c>
      <c r="M208">
        <v>1</v>
      </c>
      <c r="N208" t="str">
        <f t="shared" si="3"/>
        <v>Light User</v>
      </c>
    </row>
    <row r="209" spans="1:14" x14ac:dyDescent="0.25">
      <c r="A209">
        <v>208</v>
      </c>
      <c r="B209" t="s">
        <v>11</v>
      </c>
      <c r="C209" t="s">
        <v>12</v>
      </c>
      <c r="D209">
        <v>163</v>
      </c>
      <c r="E209">
        <v>3.1</v>
      </c>
      <c r="F209">
        <v>620</v>
      </c>
      <c r="G209">
        <v>21</v>
      </c>
      <c r="H209">
        <v>419</v>
      </c>
      <c r="I209">
        <v>23</v>
      </c>
      <c r="J209" t="str">
        <f>IF(Table2[[#This Row],[Age]]&lt;=24, "18 - 24", IF(Table2[[#This Row],[Age]]&lt;=34, "25 - 34", IF(Table2[[#This Row],[Age]]&lt;=44, "35 - 44", IF(Table2[[#This Row],[Age]]&lt;=54, "45 - 54", "55 - 59"))))</f>
        <v>18 - 24</v>
      </c>
      <c r="K209" t="str">
        <f>IF(Table2[[#This Row],[Age]]&lt;=24, "Young Adults", IF(Table2[[#This Row],[Age]]&lt;=34, "Early Career", IF(Table2[[#This Row],[Age]]&lt;=44, "Mid Career", IF(Table2[[#This Row],[Age]]&lt;=54, "Mature Adults", "Pre-retirment"))))</f>
        <v>Young Adults</v>
      </c>
      <c r="L209" t="s">
        <v>13</v>
      </c>
      <c r="M209">
        <v>2</v>
      </c>
      <c r="N209" t="str">
        <f t="shared" si="3"/>
        <v>Light User</v>
      </c>
    </row>
    <row r="210" spans="1:14" x14ac:dyDescent="0.25">
      <c r="A210">
        <v>209</v>
      </c>
      <c r="B210" t="s">
        <v>14</v>
      </c>
      <c r="C210" t="s">
        <v>12</v>
      </c>
      <c r="D210">
        <v>539</v>
      </c>
      <c r="E210">
        <v>9.3000000000000007</v>
      </c>
      <c r="F210">
        <v>2606</v>
      </c>
      <c r="G210">
        <v>92</v>
      </c>
      <c r="H210">
        <v>1990</v>
      </c>
      <c r="I210">
        <v>41</v>
      </c>
      <c r="J210" t="str">
        <f>IF(Table2[[#This Row],[Age]]&lt;=24, "18 - 24", IF(Table2[[#This Row],[Age]]&lt;=34, "25 - 34", IF(Table2[[#This Row],[Age]]&lt;=44, "35 - 44", IF(Table2[[#This Row],[Age]]&lt;=54, "45 - 54", "55 - 59"))))</f>
        <v>35 - 44</v>
      </c>
      <c r="K210" t="str">
        <f>IF(Table2[[#This Row],[Age]]&lt;=24, "Young Adults", IF(Table2[[#This Row],[Age]]&lt;=34, "Early Career", IF(Table2[[#This Row],[Age]]&lt;=44, "Mid Career", IF(Table2[[#This Row],[Age]]&lt;=54, "Mature Adults", "Pre-retirment"))))</f>
        <v>Mid Career</v>
      </c>
      <c r="L210" t="s">
        <v>13</v>
      </c>
      <c r="M210">
        <v>5</v>
      </c>
      <c r="N210" t="str">
        <f t="shared" si="3"/>
        <v>Heavy User</v>
      </c>
    </row>
    <row r="211" spans="1:14" x14ac:dyDescent="0.25">
      <c r="A211">
        <v>210</v>
      </c>
      <c r="B211" t="s">
        <v>11</v>
      </c>
      <c r="C211" t="s">
        <v>12</v>
      </c>
      <c r="D211">
        <v>278</v>
      </c>
      <c r="E211">
        <v>4.5999999999999996</v>
      </c>
      <c r="F211">
        <v>1385</v>
      </c>
      <c r="G211">
        <v>47</v>
      </c>
      <c r="H211">
        <v>823</v>
      </c>
      <c r="I211">
        <v>40</v>
      </c>
      <c r="J211" t="str">
        <f>IF(Table2[[#This Row],[Age]]&lt;=24, "18 - 24", IF(Table2[[#This Row],[Age]]&lt;=34, "25 - 34", IF(Table2[[#This Row],[Age]]&lt;=44, "35 - 44", IF(Table2[[#This Row],[Age]]&lt;=54, "45 - 54", "55 - 59"))))</f>
        <v>35 - 44</v>
      </c>
      <c r="K211" t="str">
        <f>IF(Table2[[#This Row],[Age]]&lt;=24, "Young Adults", IF(Table2[[#This Row],[Age]]&lt;=34, "Early Career", IF(Table2[[#This Row],[Age]]&lt;=44, "Mid Career", IF(Table2[[#This Row],[Age]]&lt;=54, "Mature Adults", "Pre-retirment"))))</f>
        <v>Mid Career</v>
      </c>
      <c r="L211" t="s">
        <v>15</v>
      </c>
      <c r="M211">
        <v>3</v>
      </c>
      <c r="N211" t="str">
        <f t="shared" si="3"/>
        <v>Moderate User</v>
      </c>
    </row>
    <row r="212" spans="1:14" x14ac:dyDescent="0.25">
      <c r="A212">
        <v>211</v>
      </c>
      <c r="B212" t="s">
        <v>19</v>
      </c>
      <c r="C212" t="s">
        <v>12</v>
      </c>
      <c r="D212">
        <v>451</v>
      </c>
      <c r="E212">
        <v>6.1</v>
      </c>
      <c r="F212">
        <v>2108</v>
      </c>
      <c r="G212">
        <v>76</v>
      </c>
      <c r="H212">
        <v>1434</v>
      </c>
      <c r="I212">
        <v>25</v>
      </c>
      <c r="J212" t="str">
        <f>IF(Table2[[#This Row],[Age]]&lt;=24, "18 - 24", IF(Table2[[#This Row],[Age]]&lt;=34, "25 - 34", IF(Table2[[#This Row],[Age]]&lt;=44, "35 - 44", IF(Table2[[#This Row],[Age]]&lt;=54, "45 - 54", "55 - 59"))))</f>
        <v>25 - 34</v>
      </c>
      <c r="K212" t="str">
        <f>IF(Table2[[#This Row],[Age]]&lt;=24, "Young Adults", IF(Table2[[#This Row],[Age]]&lt;=34, "Early Career", IF(Table2[[#This Row],[Age]]&lt;=44, "Mid Career", IF(Table2[[#This Row],[Age]]&lt;=54, "Mature Adults", "Pre-retirment"))))</f>
        <v>Early Career</v>
      </c>
      <c r="L212" t="s">
        <v>15</v>
      </c>
      <c r="M212">
        <v>4</v>
      </c>
      <c r="N212" t="str">
        <f t="shared" si="3"/>
        <v>Heavy User</v>
      </c>
    </row>
    <row r="213" spans="1:14" x14ac:dyDescent="0.25">
      <c r="A213">
        <v>212</v>
      </c>
      <c r="B213" t="s">
        <v>19</v>
      </c>
      <c r="C213" t="s">
        <v>12</v>
      </c>
      <c r="D213">
        <v>481</v>
      </c>
      <c r="E213">
        <v>10.9</v>
      </c>
      <c r="F213">
        <v>2752</v>
      </c>
      <c r="G213">
        <v>86</v>
      </c>
      <c r="H213">
        <v>2017</v>
      </c>
      <c r="I213">
        <v>18</v>
      </c>
      <c r="J213" t="str">
        <f>IF(Table2[[#This Row],[Age]]&lt;=24, "18 - 24", IF(Table2[[#This Row],[Age]]&lt;=34, "25 - 34", IF(Table2[[#This Row],[Age]]&lt;=44, "35 - 44", IF(Table2[[#This Row],[Age]]&lt;=54, "45 - 54", "55 - 59"))))</f>
        <v>18 - 24</v>
      </c>
      <c r="K213" t="str">
        <f>IF(Table2[[#This Row],[Age]]&lt;=24, "Young Adults", IF(Table2[[#This Row],[Age]]&lt;=34, "Early Career", IF(Table2[[#This Row],[Age]]&lt;=44, "Mid Career", IF(Table2[[#This Row],[Age]]&lt;=54, "Mature Adults", "Pre-retirment"))))</f>
        <v>Young Adults</v>
      </c>
      <c r="L213" t="s">
        <v>13</v>
      </c>
      <c r="M213">
        <v>5</v>
      </c>
      <c r="N213" t="str">
        <f t="shared" si="3"/>
        <v>Heavy User</v>
      </c>
    </row>
    <row r="214" spans="1:14" x14ac:dyDescent="0.25">
      <c r="A214">
        <v>213</v>
      </c>
      <c r="B214" t="s">
        <v>19</v>
      </c>
      <c r="C214" t="s">
        <v>12</v>
      </c>
      <c r="D214">
        <v>133</v>
      </c>
      <c r="E214">
        <v>3.4</v>
      </c>
      <c r="F214">
        <v>714</v>
      </c>
      <c r="G214">
        <v>38</v>
      </c>
      <c r="H214">
        <v>445</v>
      </c>
      <c r="I214">
        <v>25</v>
      </c>
      <c r="J214" t="str">
        <f>IF(Table2[[#This Row],[Age]]&lt;=24, "18 - 24", IF(Table2[[#This Row],[Age]]&lt;=34, "25 - 34", IF(Table2[[#This Row],[Age]]&lt;=44, "35 - 44", IF(Table2[[#This Row],[Age]]&lt;=54, "45 - 54", "55 - 59"))))</f>
        <v>25 - 34</v>
      </c>
      <c r="K214" t="str">
        <f>IF(Table2[[#This Row],[Age]]&lt;=24, "Young Adults", IF(Table2[[#This Row],[Age]]&lt;=34, "Early Career", IF(Table2[[#This Row],[Age]]&lt;=44, "Mid Career", IF(Table2[[#This Row],[Age]]&lt;=54, "Mature Adults", "Pre-retirment"))))</f>
        <v>Early Career</v>
      </c>
      <c r="L214" t="s">
        <v>13</v>
      </c>
      <c r="M214">
        <v>2</v>
      </c>
      <c r="N214" t="str">
        <f t="shared" si="3"/>
        <v>Light User</v>
      </c>
    </row>
    <row r="215" spans="1:14" x14ac:dyDescent="0.25">
      <c r="A215">
        <v>214</v>
      </c>
      <c r="B215" t="s">
        <v>16</v>
      </c>
      <c r="C215" t="s">
        <v>12</v>
      </c>
      <c r="D215">
        <v>41</v>
      </c>
      <c r="E215">
        <v>1.1000000000000001</v>
      </c>
      <c r="F215">
        <v>588</v>
      </c>
      <c r="G215">
        <v>10</v>
      </c>
      <c r="H215">
        <v>246</v>
      </c>
      <c r="I215">
        <v>22</v>
      </c>
      <c r="J215" t="str">
        <f>IF(Table2[[#This Row],[Age]]&lt;=24, "18 - 24", IF(Table2[[#This Row],[Age]]&lt;=34, "25 - 34", IF(Table2[[#This Row],[Age]]&lt;=44, "35 - 44", IF(Table2[[#This Row],[Age]]&lt;=54, "45 - 54", "55 - 59"))))</f>
        <v>18 - 24</v>
      </c>
      <c r="K215" t="str">
        <f>IF(Table2[[#This Row],[Age]]&lt;=24, "Young Adults", IF(Table2[[#This Row],[Age]]&lt;=34, "Early Career", IF(Table2[[#This Row],[Age]]&lt;=44, "Mid Career", IF(Table2[[#This Row],[Age]]&lt;=54, "Mature Adults", "Pre-retirment"))))</f>
        <v>Young Adults</v>
      </c>
      <c r="L215" t="s">
        <v>13</v>
      </c>
      <c r="M215">
        <v>1</v>
      </c>
      <c r="N215" t="str">
        <f t="shared" si="3"/>
        <v>Light User</v>
      </c>
    </row>
    <row r="216" spans="1:14" x14ac:dyDescent="0.25">
      <c r="A216">
        <v>215</v>
      </c>
      <c r="B216" t="s">
        <v>17</v>
      </c>
      <c r="C216" t="s">
        <v>18</v>
      </c>
      <c r="D216">
        <v>152</v>
      </c>
      <c r="E216">
        <v>3.3</v>
      </c>
      <c r="F216">
        <v>1175</v>
      </c>
      <c r="G216">
        <v>29</v>
      </c>
      <c r="H216">
        <v>461</v>
      </c>
      <c r="I216">
        <v>42</v>
      </c>
      <c r="J216" t="str">
        <f>IF(Table2[[#This Row],[Age]]&lt;=24, "18 - 24", IF(Table2[[#This Row],[Age]]&lt;=34, "25 - 34", IF(Table2[[#This Row],[Age]]&lt;=44, "35 - 44", IF(Table2[[#This Row],[Age]]&lt;=54, "45 - 54", "55 - 59"))))</f>
        <v>35 - 44</v>
      </c>
      <c r="K216" t="str">
        <f>IF(Table2[[#This Row],[Age]]&lt;=24, "Young Adults", IF(Table2[[#This Row],[Age]]&lt;=34, "Early Career", IF(Table2[[#This Row],[Age]]&lt;=44, "Mid Career", IF(Table2[[#This Row],[Age]]&lt;=54, "Mature Adults", "Pre-retirment"))))</f>
        <v>Mid Career</v>
      </c>
      <c r="L216" t="s">
        <v>15</v>
      </c>
      <c r="M216">
        <v>2</v>
      </c>
      <c r="N216" t="str">
        <f t="shared" si="3"/>
        <v>Light User</v>
      </c>
    </row>
    <row r="217" spans="1:14" x14ac:dyDescent="0.25">
      <c r="A217">
        <v>216</v>
      </c>
      <c r="B217" t="s">
        <v>14</v>
      </c>
      <c r="C217" t="s">
        <v>12</v>
      </c>
      <c r="D217">
        <v>553</v>
      </c>
      <c r="E217">
        <v>8.4</v>
      </c>
      <c r="F217">
        <v>2559</v>
      </c>
      <c r="G217">
        <v>89</v>
      </c>
      <c r="H217">
        <v>2471</v>
      </c>
      <c r="I217">
        <v>51</v>
      </c>
      <c r="J217" t="str">
        <f>IF(Table2[[#This Row],[Age]]&lt;=24, "18 - 24", IF(Table2[[#This Row],[Age]]&lt;=34, "25 - 34", IF(Table2[[#This Row],[Age]]&lt;=44, "35 - 44", IF(Table2[[#This Row],[Age]]&lt;=54, "45 - 54", "55 - 59"))))</f>
        <v>45 - 54</v>
      </c>
      <c r="K217" t="str">
        <f>IF(Table2[[#This Row],[Age]]&lt;=24, "Young Adults", IF(Table2[[#This Row],[Age]]&lt;=34, "Early Career", IF(Table2[[#This Row],[Age]]&lt;=44, "Mid Career", IF(Table2[[#This Row],[Age]]&lt;=54, "Mature Adults", "Pre-retirment"))))</f>
        <v>Mature Adults</v>
      </c>
      <c r="L217" t="s">
        <v>13</v>
      </c>
      <c r="M217">
        <v>5</v>
      </c>
      <c r="N217" t="str">
        <f t="shared" si="3"/>
        <v>Heavy User</v>
      </c>
    </row>
    <row r="218" spans="1:14" x14ac:dyDescent="0.25">
      <c r="A218">
        <v>217</v>
      </c>
      <c r="B218" t="s">
        <v>17</v>
      </c>
      <c r="C218" t="s">
        <v>18</v>
      </c>
      <c r="D218">
        <v>402</v>
      </c>
      <c r="E218">
        <v>6.9</v>
      </c>
      <c r="F218">
        <v>2282</v>
      </c>
      <c r="G218">
        <v>78</v>
      </c>
      <c r="H218">
        <v>1397</v>
      </c>
      <c r="I218">
        <v>40</v>
      </c>
      <c r="J218" t="str">
        <f>IF(Table2[[#This Row],[Age]]&lt;=24, "18 - 24", IF(Table2[[#This Row],[Age]]&lt;=34, "25 - 34", IF(Table2[[#This Row],[Age]]&lt;=44, "35 - 44", IF(Table2[[#This Row],[Age]]&lt;=54, "45 - 54", "55 - 59"))))</f>
        <v>35 - 44</v>
      </c>
      <c r="K218" t="str">
        <f>IF(Table2[[#This Row],[Age]]&lt;=24, "Young Adults", IF(Table2[[#This Row],[Age]]&lt;=34, "Early Career", IF(Table2[[#This Row],[Age]]&lt;=44, "Mid Career", IF(Table2[[#This Row],[Age]]&lt;=54, "Mature Adults", "Pre-retirment"))))</f>
        <v>Mid Career</v>
      </c>
      <c r="L218" t="s">
        <v>13</v>
      </c>
      <c r="M218">
        <v>4</v>
      </c>
      <c r="N218" t="str">
        <f t="shared" si="3"/>
        <v>Heavy User</v>
      </c>
    </row>
    <row r="219" spans="1:14" x14ac:dyDescent="0.25">
      <c r="A219">
        <v>218</v>
      </c>
      <c r="B219" t="s">
        <v>14</v>
      </c>
      <c r="C219" t="s">
        <v>12</v>
      </c>
      <c r="D219">
        <v>555</v>
      </c>
      <c r="E219">
        <v>9.5</v>
      </c>
      <c r="F219">
        <v>2855</v>
      </c>
      <c r="G219">
        <v>95</v>
      </c>
      <c r="H219">
        <v>1565</v>
      </c>
      <c r="I219">
        <v>24</v>
      </c>
      <c r="J219" t="str">
        <f>IF(Table2[[#This Row],[Age]]&lt;=24, "18 - 24", IF(Table2[[#This Row],[Age]]&lt;=34, "25 - 34", IF(Table2[[#This Row],[Age]]&lt;=44, "35 - 44", IF(Table2[[#This Row],[Age]]&lt;=54, "45 - 54", "55 - 59"))))</f>
        <v>18 - 24</v>
      </c>
      <c r="K219" t="str">
        <f>IF(Table2[[#This Row],[Age]]&lt;=24, "Young Adults", IF(Table2[[#This Row],[Age]]&lt;=34, "Early Career", IF(Table2[[#This Row],[Age]]&lt;=44, "Mid Career", IF(Table2[[#This Row],[Age]]&lt;=54, "Mature Adults", "Pre-retirment"))))</f>
        <v>Young Adults</v>
      </c>
      <c r="L219" t="s">
        <v>13</v>
      </c>
      <c r="M219">
        <v>5</v>
      </c>
      <c r="N219" t="str">
        <f t="shared" si="3"/>
        <v>Heavy User</v>
      </c>
    </row>
    <row r="220" spans="1:14" x14ac:dyDescent="0.25">
      <c r="A220">
        <v>219</v>
      </c>
      <c r="B220" t="s">
        <v>17</v>
      </c>
      <c r="C220" t="s">
        <v>18</v>
      </c>
      <c r="D220">
        <v>499</v>
      </c>
      <c r="E220">
        <v>9.6</v>
      </c>
      <c r="F220">
        <v>2873</v>
      </c>
      <c r="G220">
        <v>81</v>
      </c>
      <c r="H220">
        <v>1805</v>
      </c>
      <c r="I220">
        <v>52</v>
      </c>
      <c r="J220" t="str">
        <f>IF(Table2[[#This Row],[Age]]&lt;=24, "18 - 24", IF(Table2[[#This Row],[Age]]&lt;=34, "25 - 34", IF(Table2[[#This Row],[Age]]&lt;=44, "35 - 44", IF(Table2[[#This Row],[Age]]&lt;=54, "45 - 54", "55 - 59"))))</f>
        <v>45 - 54</v>
      </c>
      <c r="K220" t="str">
        <f>IF(Table2[[#This Row],[Age]]&lt;=24, "Young Adults", IF(Table2[[#This Row],[Age]]&lt;=34, "Early Career", IF(Table2[[#This Row],[Age]]&lt;=44, "Mid Career", IF(Table2[[#This Row],[Age]]&lt;=54, "Mature Adults", "Pre-retirment"))))</f>
        <v>Mature Adults</v>
      </c>
      <c r="L220" t="s">
        <v>15</v>
      </c>
      <c r="M220">
        <v>5</v>
      </c>
      <c r="N220" t="str">
        <f t="shared" si="3"/>
        <v>Heavy User</v>
      </c>
    </row>
    <row r="221" spans="1:14" x14ac:dyDescent="0.25">
      <c r="A221">
        <v>220</v>
      </c>
      <c r="B221" t="s">
        <v>16</v>
      </c>
      <c r="C221" t="s">
        <v>12</v>
      </c>
      <c r="D221">
        <v>101</v>
      </c>
      <c r="E221">
        <v>3.2</v>
      </c>
      <c r="F221">
        <v>603</v>
      </c>
      <c r="G221">
        <v>28</v>
      </c>
      <c r="H221">
        <v>417</v>
      </c>
      <c r="I221">
        <v>43</v>
      </c>
      <c r="J221" t="str">
        <f>IF(Table2[[#This Row],[Age]]&lt;=24, "18 - 24", IF(Table2[[#This Row],[Age]]&lt;=34, "25 - 34", IF(Table2[[#This Row],[Age]]&lt;=44, "35 - 44", IF(Table2[[#This Row],[Age]]&lt;=54, "45 - 54", "55 - 59"))))</f>
        <v>35 - 44</v>
      </c>
      <c r="K221" t="str">
        <f>IF(Table2[[#This Row],[Age]]&lt;=24, "Young Adults", IF(Table2[[#This Row],[Age]]&lt;=34, "Early Career", IF(Table2[[#This Row],[Age]]&lt;=44, "Mid Career", IF(Table2[[#This Row],[Age]]&lt;=54, "Mature Adults", "Pre-retirment"))))</f>
        <v>Mid Career</v>
      </c>
      <c r="L221" t="s">
        <v>13</v>
      </c>
      <c r="M221">
        <v>2</v>
      </c>
      <c r="N221" t="str">
        <f t="shared" si="3"/>
        <v>Light User</v>
      </c>
    </row>
    <row r="222" spans="1:14" x14ac:dyDescent="0.25">
      <c r="A222">
        <v>221</v>
      </c>
      <c r="B222" t="s">
        <v>14</v>
      </c>
      <c r="C222" t="s">
        <v>12</v>
      </c>
      <c r="D222">
        <v>433</v>
      </c>
      <c r="E222">
        <v>6.8</v>
      </c>
      <c r="F222">
        <v>2093</v>
      </c>
      <c r="G222">
        <v>75</v>
      </c>
      <c r="H222">
        <v>1300</v>
      </c>
      <c r="I222">
        <v>32</v>
      </c>
      <c r="J222" t="str">
        <f>IF(Table2[[#This Row],[Age]]&lt;=24, "18 - 24", IF(Table2[[#This Row],[Age]]&lt;=34, "25 - 34", IF(Table2[[#This Row],[Age]]&lt;=44, "35 - 44", IF(Table2[[#This Row],[Age]]&lt;=54, "45 - 54", "55 - 59"))))</f>
        <v>25 - 34</v>
      </c>
      <c r="K222" t="str">
        <f>IF(Table2[[#This Row],[Age]]&lt;=24, "Young Adults", IF(Table2[[#This Row],[Age]]&lt;=34, "Early Career", IF(Table2[[#This Row],[Age]]&lt;=44, "Mid Career", IF(Table2[[#This Row],[Age]]&lt;=54, "Mature Adults", "Pre-retirment"))))</f>
        <v>Early Career</v>
      </c>
      <c r="L222" t="s">
        <v>13</v>
      </c>
      <c r="M222">
        <v>4</v>
      </c>
      <c r="N222" t="str">
        <f t="shared" si="3"/>
        <v>Heavy User</v>
      </c>
    </row>
    <row r="223" spans="1:14" x14ac:dyDescent="0.25">
      <c r="A223">
        <v>222</v>
      </c>
      <c r="B223" t="s">
        <v>14</v>
      </c>
      <c r="C223" t="s">
        <v>12</v>
      </c>
      <c r="D223">
        <v>133</v>
      </c>
      <c r="E223">
        <v>2</v>
      </c>
      <c r="F223">
        <v>1007</v>
      </c>
      <c r="G223">
        <v>31</v>
      </c>
      <c r="H223">
        <v>417</v>
      </c>
      <c r="I223">
        <v>32</v>
      </c>
      <c r="J223" t="str">
        <f>IF(Table2[[#This Row],[Age]]&lt;=24, "18 - 24", IF(Table2[[#This Row],[Age]]&lt;=34, "25 - 34", IF(Table2[[#This Row],[Age]]&lt;=44, "35 - 44", IF(Table2[[#This Row],[Age]]&lt;=54, "45 - 54", "55 - 59"))))</f>
        <v>25 - 34</v>
      </c>
      <c r="K223" t="str">
        <f>IF(Table2[[#This Row],[Age]]&lt;=24, "Young Adults", IF(Table2[[#This Row],[Age]]&lt;=34, "Early Career", IF(Table2[[#This Row],[Age]]&lt;=44, "Mid Career", IF(Table2[[#This Row],[Age]]&lt;=54, "Mature Adults", "Pre-retirment"))))</f>
        <v>Early Career</v>
      </c>
      <c r="L223" t="s">
        <v>13</v>
      </c>
      <c r="M223">
        <v>2</v>
      </c>
      <c r="N223" t="str">
        <f t="shared" si="3"/>
        <v>Light User</v>
      </c>
    </row>
    <row r="224" spans="1:14" x14ac:dyDescent="0.25">
      <c r="A224">
        <v>223</v>
      </c>
      <c r="B224" t="s">
        <v>16</v>
      </c>
      <c r="C224" t="s">
        <v>12</v>
      </c>
      <c r="D224">
        <v>351</v>
      </c>
      <c r="E224">
        <v>6.1</v>
      </c>
      <c r="F224">
        <v>1941</v>
      </c>
      <c r="G224">
        <v>79</v>
      </c>
      <c r="H224">
        <v>1290</v>
      </c>
      <c r="I224">
        <v>21</v>
      </c>
      <c r="J224" t="str">
        <f>IF(Table2[[#This Row],[Age]]&lt;=24, "18 - 24", IF(Table2[[#This Row],[Age]]&lt;=34, "25 - 34", IF(Table2[[#This Row],[Age]]&lt;=44, "35 - 44", IF(Table2[[#This Row],[Age]]&lt;=54, "45 - 54", "55 - 59"))))</f>
        <v>18 - 24</v>
      </c>
      <c r="K224" t="str">
        <f>IF(Table2[[#This Row],[Age]]&lt;=24, "Young Adults", IF(Table2[[#This Row],[Age]]&lt;=34, "Early Career", IF(Table2[[#This Row],[Age]]&lt;=44, "Mid Career", IF(Table2[[#This Row],[Age]]&lt;=54, "Mature Adults", "Pre-retirment"))))</f>
        <v>Young Adults</v>
      </c>
      <c r="L224" t="s">
        <v>15</v>
      </c>
      <c r="M224">
        <v>4</v>
      </c>
      <c r="N224" t="str">
        <f t="shared" si="3"/>
        <v>Heavy User</v>
      </c>
    </row>
    <row r="225" spans="1:14" x14ac:dyDescent="0.25">
      <c r="A225">
        <v>224</v>
      </c>
      <c r="B225" t="s">
        <v>19</v>
      </c>
      <c r="C225" t="s">
        <v>12</v>
      </c>
      <c r="D225">
        <v>532</v>
      </c>
      <c r="E225">
        <v>10.7</v>
      </c>
      <c r="F225">
        <v>2556</v>
      </c>
      <c r="G225">
        <v>83</v>
      </c>
      <c r="H225">
        <v>2148</v>
      </c>
      <c r="I225">
        <v>53</v>
      </c>
      <c r="J225" t="str">
        <f>IF(Table2[[#This Row],[Age]]&lt;=24, "18 - 24", IF(Table2[[#This Row],[Age]]&lt;=34, "25 - 34", IF(Table2[[#This Row],[Age]]&lt;=44, "35 - 44", IF(Table2[[#This Row],[Age]]&lt;=54, "45 - 54", "55 - 59"))))</f>
        <v>45 - 54</v>
      </c>
      <c r="K225" t="str">
        <f>IF(Table2[[#This Row],[Age]]&lt;=24, "Young Adults", IF(Table2[[#This Row],[Age]]&lt;=34, "Early Career", IF(Table2[[#This Row],[Age]]&lt;=44, "Mid Career", IF(Table2[[#This Row],[Age]]&lt;=54, "Mature Adults", "Pre-retirment"))))</f>
        <v>Mature Adults</v>
      </c>
      <c r="L225" t="s">
        <v>15</v>
      </c>
      <c r="M225">
        <v>5</v>
      </c>
      <c r="N225" t="str">
        <f t="shared" si="3"/>
        <v>Heavy User</v>
      </c>
    </row>
    <row r="226" spans="1:14" x14ac:dyDescent="0.25">
      <c r="A226">
        <v>225</v>
      </c>
      <c r="B226" t="s">
        <v>14</v>
      </c>
      <c r="C226" t="s">
        <v>12</v>
      </c>
      <c r="D226">
        <v>92</v>
      </c>
      <c r="E226">
        <v>2.5</v>
      </c>
      <c r="F226">
        <v>690</v>
      </c>
      <c r="G226">
        <v>31</v>
      </c>
      <c r="H226">
        <v>563</v>
      </c>
      <c r="I226">
        <v>27</v>
      </c>
      <c r="J226" t="str">
        <f>IF(Table2[[#This Row],[Age]]&lt;=24, "18 - 24", IF(Table2[[#This Row],[Age]]&lt;=34, "25 - 34", IF(Table2[[#This Row],[Age]]&lt;=44, "35 - 44", IF(Table2[[#This Row],[Age]]&lt;=54, "45 - 54", "55 - 59"))))</f>
        <v>25 - 34</v>
      </c>
      <c r="K226" t="str">
        <f>IF(Table2[[#This Row],[Age]]&lt;=24, "Young Adults", IF(Table2[[#This Row],[Age]]&lt;=34, "Early Career", IF(Table2[[#This Row],[Age]]&lt;=44, "Mid Career", IF(Table2[[#This Row],[Age]]&lt;=54, "Mature Adults", "Pre-retirment"))))</f>
        <v>Early Career</v>
      </c>
      <c r="L226" t="s">
        <v>13</v>
      </c>
      <c r="M226">
        <v>2</v>
      </c>
      <c r="N226" t="str">
        <f t="shared" si="3"/>
        <v>Light User</v>
      </c>
    </row>
    <row r="227" spans="1:14" x14ac:dyDescent="0.25">
      <c r="A227">
        <v>226</v>
      </c>
      <c r="B227" t="s">
        <v>16</v>
      </c>
      <c r="C227" t="s">
        <v>12</v>
      </c>
      <c r="D227">
        <v>511</v>
      </c>
      <c r="E227">
        <v>10.8</v>
      </c>
      <c r="F227">
        <v>2712</v>
      </c>
      <c r="G227">
        <v>97</v>
      </c>
      <c r="H227">
        <v>2438</v>
      </c>
      <c r="I227">
        <v>59</v>
      </c>
      <c r="J227" t="str">
        <f>IF(Table2[[#This Row],[Age]]&lt;=24, "18 - 24", IF(Table2[[#This Row],[Age]]&lt;=34, "25 - 34", IF(Table2[[#This Row],[Age]]&lt;=44, "35 - 44", IF(Table2[[#This Row],[Age]]&lt;=54, "45 - 54", "55 - 59"))))</f>
        <v>55 - 59</v>
      </c>
      <c r="K227" t="str">
        <f>IF(Table2[[#This Row],[Age]]&lt;=24, "Young Adults", IF(Table2[[#This Row],[Age]]&lt;=34, "Early Career", IF(Table2[[#This Row],[Age]]&lt;=44, "Mid Career", IF(Table2[[#This Row],[Age]]&lt;=54, "Mature Adults", "Pre-retirment"))))</f>
        <v>Pre-retirment</v>
      </c>
      <c r="L227" t="s">
        <v>15</v>
      </c>
      <c r="M227">
        <v>5</v>
      </c>
      <c r="N227" t="str">
        <f t="shared" si="3"/>
        <v>Heavy User</v>
      </c>
    </row>
    <row r="228" spans="1:14" x14ac:dyDescent="0.25">
      <c r="A228">
        <v>227</v>
      </c>
      <c r="B228" t="s">
        <v>16</v>
      </c>
      <c r="C228" t="s">
        <v>12</v>
      </c>
      <c r="D228">
        <v>384</v>
      </c>
      <c r="E228">
        <v>7</v>
      </c>
      <c r="F228">
        <v>2185</v>
      </c>
      <c r="G228">
        <v>72</v>
      </c>
      <c r="H228">
        <v>1376</v>
      </c>
      <c r="I228">
        <v>59</v>
      </c>
      <c r="J228" t="str">
        <f>IF(Table2[[#This Row],[Age]]&lt;=24, "18 - 24", IF(Table2[[#This Row],[Age]]&lt;=34, "25 - 34", IF(Table2[[#This Row],[Age]]&lt;=44, "35 - 44", IF(Table2[[#This Row],[Age]]&lt;=54, "45 - 54", "55 - 59"))))</f>
        <v>55 - 59</v>
      </c>
      <c r="K228" t="str">
        <f>IF(Table2[[#This Row],[Age]]&lt;=24, "Young Adults", IF(Table2[[#This Row],[Age]]&lt;=34, "Early Career", IF(Table2[[#This Row],[Age]]&lt;=44, "Mid Career", IF(Table2[[#This Row],[Age]]&lt;=54, "Mature Adults", "Pre-retirment"))))</f>
        <v>Pre-retirment</v>
      </c>
      <c r="L228" t="s">
        <v>13</v>
      </c>
      <c r="M228">
        <v>4</v>
      </c>
      <c r="N228" t="str">
        <f t="shared" si="3"/>
        <v>Heavy User</v>
      </c>
    </row>
    <row r="229" spans="1:14" x14ac:dyDescent="0.25">
      <c r="A229">
        <v>228</v>
      </c>
      <c r="B229" t="s">
        <v>17</v>
      </c>
      <c r="C229" t="s">
        <v>18</v>
      </c>
      <c r="D229">
        <v>193</v>
      </c>
      <c r="E229">
        <v>5.2</v>
      </c>
      <c r="F229">
        <v>1318</v>
      </c>
      <c r="G229">
        <v>49</v>
      </c>
      <c r="H229">
        <v>626</v>
      </c>
      <c r="I229">
        <v>32</v>
      </c>
      <c r="J229" t="str">
        <f>IF(Table2[[#This Row],[Age]]&lt;=24, "18 - 24", IF(Table2[[#This Row],[Age]]&lt;=34, "25 - 34", IF(Table2[[#This Row],[Age]]&lt;=44, "35 - 44", IF(Table2[[#This Row],[Age]]&lt;=54, "45 - 54", "55 - 59"))))</f>
        <v>25 - 34</v>
      </c>
      <c r="K229" t="str">
        <f>IF(Table2[[#This Row],[Age]]&lt;=24, "Young Adults", IF(Table2[[#This Row],[Age]]&lt;=34, "Early Career", IF(Table2[[#This Row],[Age]]&lt;=44, "Mid Career", IF(Table2[[#This Row],[Age]]&lt;=54, "Mature Adults", "Pre-retirment"))))</f>
        <v>Early Career</v>
      </c>
      <c r="L229" t="s">
        <v>15</v>
      </c>
      <c r="M229">
        <v>3</v>
      </c>
      <c r="N229" t="str">
        <f t="shared" si="3"/>
        <v>Moderate User</v>
      </c>
    </row>
    <row r="230" spans="1:14" x14ac:dyDescent="0.25">
      <c r="A230">
        <v>229</v>
      </c>
      <c r="B230" t="s">
        <v>19</v>
      </c>
      <c r="C230" t="s">
        <v>12</v>
      </c>
      <c r="D230">
        <v>132</v>
      </c>
      <c r="E230">
        <v>3.8</v>
      </c>
      <c r="F230">
        <v>649</v>
      </c>
      <c r="G230">
        <v>25</v>
      </c>
      <c r="H230">
        <v>368</v>
      </c>
      <c r="I230">
        <v>41</v>
      </c>
      <c r="J230" t="str">
        <f>IF(Table2[[#This Row],[Age]]&lt;=24, "18 - 24", IF(Table2[[#This Row],[Age]]&lt;=34, "25 - 34", IF(Table2[[#This Row],[Age]]&lt;=44, "35 - 44", IF(Table2[[#This Row],[Age]]&lt;=54, "45 - 54", "55 - 59"))))</f>
        <v>35 - 44</v>
      </c>
      <c r="K230" t="str">
        <f>IF(Table2[[#This Row],[Age]]&lt;=24, "Young Adults", IF(Table2[[#This Row],[Age]]&lt;=34, "Early Career", IF(Table2[[#This Row],[Age]]&lt;=44, "Mid Career", IF(Table2[[#This Row],[Age]]&lt;=54, "Mature Adults", "Pre-retirment"))))</f>
        <v>Mid Career</v>
      </c>
      <c r="L230" t="s">
        <v>13</v>
      </c>
      <c r="M230">
        <v>2</v>
      </c>
      <c r="N230" t="str">
        <f t="shared" si="3"/>
        <v>Light User</v>
      </c>
    </row>
    <row r="231" spans="1:14" x14ac:dyDescent="0.25">
      <c r="A231">
        <v>230</v>
      </c>
      <c r="B231" t="s">
        <v>19</v>
      </c>
      <c r="C231" t="s">
        <v>12</v>
      </c>
      <c r="D231">
        <v>360</v>
      </c>
      <c r="E231">
        <v>7.3</v>
      </c>
      <c r="F231">
        <v>1946</v>
      </c>
      <c r="G231">
        <v>79</v>
      </c>
      <c r="H231">
        <v>1164</v>
      </c>
      <c r="I231">
        <v>50</v>
      </c>
      <c r="J231" t="str">
        <f>IF(Table2[[#This Row],[Age]]&lt;=24, "18 - 24", IF(Table2[[#This Row],[Age]]&lt;=34, "25 - 34", IF(Table2[[#This Row],[Age]]&lt;=44, "35 - 44", IF(Table2[[#This Row],[Age]]&lt;=54, "45 - 54", "55 - 59"))))</f>
        <v>45 - 54</v>
      </c>
      <c r="K231" t="str">
        <f>IF(Table2[[#This Row],[Age]]&lt;=24, "Young Adults", IF(Table2[[#This Row],[Age]]&lt;=34, "Early Career", IF(Table2[[#This Row],[Age]]&lt;=44, "Mid Career", IF(Table2[[#This Row],[Age]]&lt;=54, "Mature Adults", "Pre-retirment"))))</f>
        <v>Mature Adults</v>
      </c>
      <c r="L231" t="s">
        <v>13</v>
      </c>
      <c r="M231">
        <v>4</v>
      </c>
      <c r="N231" t="str">
        <f t="shared" si="3"/>
        <v>Heavy User</v>
      </c>
    </row>
    <row r="232" spans="1:14" x14ac:dyDescent="0.25">
      <c r="A232">
        <v>231</v>
      </c>
      <c r="B232" t="s">
        <v>17</v>
      </c>
      <c r="C232" t="s">
        <v>18</v>
      </c>
      <c r="D232">
        <v>159</v>
      </c>
      <c r="E232">
        <v>2.2999999999999998</v>
      </c>
      <c r="F232">
        <v>1083</v>
      </c>
      <c r="G232">
        <v>32</v>
      </c>
      <c r="H232">
        <v>526</v>
      </c>
      <c r="I232">
        <v>38</v>
      </c>
      <c r="J232" t="str">
        <f>IF(Table2[[#This Row],[Age]]&lt;=24, "18 - 24", IF(Table2[[#This Row],[Age]]&lt;=34, "25 - 34", IF(Table2[[#This Row],[Age]]&lt;=44, "35 - 44", IF(Table2[[#This Row],[Age]]&lt;=54, "45 - 54", "55 - 59"))))</f>
        <v>35 - 44</v>
      </c>
      <c r="K232" t="str">
        <f>IF(Table2[[#This Row],[Age]]&lt;=24, "Young Adults", IF(Table2[[#This Row],[Age]]&lt;=34, "Early Career", IF(Table2[[#This Row],[Age]]&lt;=44, "Mid Career", IF(Table2[[#This Row],[Age]]&lt;=54, "Mature Adults", "Pre-retirment"))))</f>
        <v>Mid Career</v>
      </c>
      <c r="L232" t="s">
        <v>13</v>
      </c>
      <c r="M232">
        <v>2</v>
      </c>
      <c r="N232" t="str">
        <f t="shared" si="3"/>
        <v>Light User</v>
      </c>
    </row>
    <row r="233" spans="1:14" x14ac:dyDescent="0.25">
      <c r="A233">
        <v>232</v>
      </c>
      <c r="B233" t="s">
        <v>17</v>
      </c>
      <c r="C233" t="s">
        <v>18</v>
      </c>
      <c r="D233">
        <v>495</v>
      </c>
      <c r="E233">
        <v>8.9</v>
      </c>
      <c r="F233">
        <v>2855</v>
      </c>
      <c r="G233">
        <v>91</v>
      </c>
      <c r="H233">
        <v>2150</v>
      </c>
      <c r="I233">
        <v>31</v>
      </c>
      <c r="J233" t="str">
        <f>IF(Table2[[#This Row],[Age]]&lt;=24, "18 - 24", IF(Table2[[#This Row],[Age]]&lt;=34, "25 - 34", IF(Table2[[#This Row],[Age]]&lt;=44, "35 - 44", IF(Table2[[#This Row],[Age]]&lt;=54, "45 - 54", "55 - 59"))))</f>
        <v>25 - 34</v>
      </c>
      <c r="K233" t="str">
        <f>IF(Table2[[#This Row],[Age]]&lt;=24, "Young Adults", IF(Table2[[#This Row],[Age]]&lt;=34, "Early Career", IF(Table2[[#This Row],[Age]]&lt;=44, "Mid Career", IF(Table2[[#This Row],[Age]]&lt;=54, "Mature Adults", "Pre-retirment"))))</f>
        <v>Early Career</v>
      </c>
      <c r="L233" t="s">
        <v>13</v>
      </c>
      <c r="M233">
        <v>5</v>
      </c>
      <c r="N233" t="str">
        <f t="shared" si="3"/>
        <v>Heavy User</v>
      </c>
    </row>
    <row r="234" spans="1:14" x14ac:dyDescent="0.25">
      <c r="A234">
        <v>233</v>
      </c>
      <c r="B234" t="s">
        <v>16</v>
      </c>
      <c r="C234" t="s">
        <v>12</v>
      </c>
      <c r="D234">
        <v>537</v>
      </c>
      <c r="E234">
        <v>10</v>
      </c>
      <c r="F234">
        <v>2720</v>
      </c>
      <c r="G234">
        <v>83</v>
      </c>
      <c r="H234">
        <v>1763</v>
      </c>
      <c r="I234">
        <v>35</v>
      </c>
      <c r="J234" t="str">
        <f>IF(Table2[[#This Row],[Age]]&lt;=24, "18 - 24", IF(Table2[[#This Row],[Age]]&lt;=34, "25 - 34", IF(Table2[[#This Row],[Age]]&lt;=44, "35 - 44", IF(Table2[[#This Row],[Age]]&lt;=54, "45 - 54", "55 - 59"))))</f>
        <v>35 - 44</v>
      </c>
      <c r="K234" t="str">
        <f>IF(Table2[[#This Row],[Age]]&lt;=24, "Young Adults", IF(Table2[[#This Row],[Age]]&lt;=34, "Early Career", IF(Table2[[#This Row],[Age]]&lt;=44, "Mid Career", IF(Table2[[#This Row],[Age]]&lt;=54, "Mature Adults", "Pre-retirment"))))</f>
        <v>Mid Career</v>
      </c>
      <c r="L234" t="s">
        <v>13</v>
      </c>
      <c r="M234">
        <v>5</v>
      </c>
      <c r="N234" t="str">
        <f t="shared" si="3"/>
        <v>Heavy User</v>
      </c>
    </row>
    <row r="235" spans="1:14" x14ac:dyDescent="0.25">
      <c r="A235">
        <v>234</v>
      </c>
      <c r="B235" t="s">
        <v>14</v>
      </c>
      <c r="C235" t="s">
        <v>12</v>
      </c>
      <c r="D235">
        <v>129</v>
      </c>
      <c r="E235">
        <v>3.4</v>
      </c>
      <c r="F235">
        <v>1059</v>
      </c>
      <c r="G235">
        <v>27</v>
      </c>
      <c r="H235">
        <v>580</v>
      </c>
      <c r="I235">
        <v>36</v>
      </c>
      <c r="J235" t="str">
        <f>IF(Table2[[#This Row],[Age]]&lt;=24, "18 - 24", IF(Table2[[#This Row],[Age]]&lt;=34, "25 - 34", IF(Table2[[#This Row],[Age]]&lt;=44, "35 - 44", IF(Table2[[#This Row],[Age]]&lt;=54, "45 - 54", "55 - 59"))))</f>
        <v>35 - 44</v>
      </c>
      <c r="K235" t="str">
        <f>IF(Table2[[#This Row],[Age]]&lt;=24, "Young Adults", IF(Table2[[#This Row],[Age]]&lt;=34, "Early Career", IF(Table2[[#This Row],[Age]]&lt;=44, "Mid Career", IF(Table2[[#This Row],[Age]]&lt;=54, "Mature Adults", "Pre-retirment"))))</f>
        <v>Mid Career</v>
      </c>
      <c r="L235" t="s">
        <v>15</v>
      </c>
      <c r="M235">
        <v>2</v>
      </c>
      <c r="N235" t="str">
        <f t="shared" si="3"/>
        <v>Light User</v>
      </c>
    </row>
    <row r="236" spans="1:14" x14ac:dyDescent="0.25">
      <c r="A236">
        <v>235</v>
      </c>
      <c r="B236" t="s">
        <v>17</v>
      </c>
      <c r="C236" t="s">
        <v>18</v>
      </c>
      <c r="D236">
        <v>132</v>
      </c>
      <c r="E236">
        <v>3.8</v>
      </c>
      <c r="F236">
        <v>636</v>
      </c>
      <c r="G236">
        <v>28</v>
      </c>
      <c r="H236">
        <v>529</v>
      </c>
      <c r="I236">
        <v>53</v>
      </c>
      <c r="J236" t="str">
        <f>IF(Table2[[#This Row],[Age]]&lt;=24, "18 - 24", IF(Table2[[#This Row],[Age]]&lt;=34, "25 - 34", IF(Table2[[#This Row],[Age]]&lt;=44, "35 - 44", IF(Table2[[#This Row],[Age]]&lt;=54, "45 - 54", "55 - 59"))))</f>
        <v>45 - 54</v>
      </c>
      <c r="K236" t="str">
        <f>IF(Table2[[#This Row],[Age]]&lt;=24, "Young Adults", IF(Table2[[#This Row],[Age]]&lt;=34, "Early Career", IF(Table2[[#This Row],[Age]]&lt;=44, "Mid Career", IF(Table2[[#This Row],[Age]]&lt;=54, "Mature Adults", "Pre-retirment"))))</f>
        <v>Mature Adults</v>
      </c>
      <c r="L236" t="s">
        <v>13</v>
      </c>
      <c r="M236">
        <v>2</v>
      </c>
      <c r="N236" t="str">
        <f t="shared" si="3"/>
        <v>Light User</v>
      </c>
    </row>
    <row r="237" spans="1:14" x14ac:dyDescent="0.25">
      <c r="A237">
        <v>236</v>
      </c>
      <c r="B237" t="s">
        <v>16</v>
      </c>
      <c r="C237" t="s">
        <v>12</v>
      </c>
      <c r="D237">
        <v>37</v>
      </c>
      <c r="E237">
        <v>1.4</v>
      </c>
      <c r="F237">
        <v>369</v>
      </c>
      <c r="G237">
        <v>18</v>
      </c>
      <c r="H237">
        <v>295</v>
      </c>
      <c r="I237">
        <v>19</v>
      </c>
      <c r="J237" t="str">
        <f>IF(Table2[[#This Row],[Age]]&lt;=24, "18 - 24", IF(Table2[[#This Row],[Age]]&lt;=34, "25 - 34", IF(Table2[[#This Row],[Age]]&lt;=44, "35 - 44", IF(Table2[[#This Row],[Age]]&lt;=54, "45 - 54", "55 - 59"))))</f>
        <v>18 - 24</v>
      </c>
      <c r="K237" t="str">
        <f>IF(Table2[[#This Row],[Age]]&lt;=24, "Young Adults", IF(Table2[[#This Row],[Age]]&lt;=34, "Early Career", IF(Table2[[#This Row],[Age]]&lt;=44, "Mid Career", IF(Table2[[#This Row],[Age]]&lt;=54, "Mature Adults", "Pre-retirment"))))</f>
        <v>Young Adults</v>
      </c>
      <c r="L237" t="s">
        <v>15</v>
      </c>
      <c r="M237">
        <v>1</v>
      </c>
      <c r="N237" t="str">
        <f t="shared" si="3"/>
        <v>Light User</v>
      </c>
    </row>
    <row r="238" spans="1:14" x14ac:dyDescent="0.25">
      <c r="A238">
        <v>237</v>
      </c>
      <c r="B238" t="s">
        <v>19</v>
      </c>
      <c r="C238" t="s">
        <v>12</v>
      </c>
      <c r="D238">
        <v>524</v>
      </c>
      <c r="E238">
        <v>8.9</v>
      </c>
      <c r="F238">
        <v>2549</v>
      </c>
      <c r="G238">
        <v>88</v>
      </c>
      <c r="H238">
        <v>1730</v>
      </c>
      <c r="I238">
        <v>20</v>
      </c>
      <c r="J238" t="str">
        <f>IF(Table2[[#This Row],[Age]]&lt;=24, "18 - 24", IF(Table2[[#This Row],[Age]]&lt;=34, "25 - 34", IF(Table2[[#This Row],[Age]]&lt;=44, "35 - 44", IF(Table2[[#This Row],[Age]]&lt;=54, "45 - 54", "55 - 59"))))</f>
        <v>18 - 24</v>
      </c>
      <c r="K238" t="str">
        <f>IF(Table2[[#This Row],[Age]]&lt;=24, "Young Adults", IF(Table2[[#This Row],[Age]]&lt;=34, "Early Career", IF(Table2[[#This Row],[Age]]&lt;=44, "Mid Career", IF(Table2[[#This Row],[Age]]&lt;=54, "Mature Adults", "Pre-retirment"))))</f>
        <v>Young Adults</v>
      </c>
      <c r="L238" t="s">
        <v>15</v>
      </c>
      <c r="M238">
        <v>5</v>
      </c>
      <c r="N238" t="str">
        <f t="shared" si="3"/>
        <v>Heavy User</v>
      </c>
    </row>
    <row r="239" spans="1:14" x14ac:dyDescent="0.25">
      <c r="A239">
        <v>238</v>
      </c>
      <c r="B239" t="s">
        <v>14</v>
      </c>
      <c r="C239" t="s">
        <v>12</v>
      </c>
      <c r="D239">
        <v>425</v>
      </c>
      <c r="E239">
        <v>6.9</v>
      </c>
      <c r="F239">
        <v>2142</v>
      </c>
      <c r="G239">
        <v>66</v>
      </c>
      <c r="H239">
        <v>1130</v>
      </c>
      <c r="I239">
        <v>19</v>
      </c>
      <c r="J239" t="str">
        <f>IF(Table2[[#This Row],[Age]]&lt;=24, "18 - 24", IF(Table2[[#This Row],[Age]]&lt;=34, "25 - 34", IF(Table2[[#This Row],[Age]]&lt;=44, "35 - 44", IF(Table2[[#This Row],[Age]]&lt;=54, "45 - 54", "55 - 59"))))</f>
        <v>18 - 24</v>
      </c>
      <c r="K239" t="str">
        <f>IF(Table2[[#This Row],[Age]]&lt;=24, "Young Adults", IF(Table2[[#This Row],[Age]]&lt;=34, "Early Career", IF(Table2[[#This Row],[Age]]&lt;=44, "Mid Career", IF(Table2[[#This Row],[Age]]&lt;=54, "Mature Adults", "Pre-retirment"))))</f>
        <v>Young Adults</v>
      </c>
      <c r="L239" t="s">
        <v>15</v>
      </c>
      <c r="M239">
        <v>4</v>
      </c>
      <c r="N239" t="str">
        <f t="shared" si="3"/>
        <v>Heavy User</v>
      </c>
    </row>
    <row r="240" spans="1:14" x14ac:dyDescent="0.25">
      <c r="A240">
        <v>239</v>
      </c>
      <c r="B240" t="s">
        <v>14</v>
      </c>
      <c r="C240" t="s">
        <v>12</v>
      </c>
      <c r="D240">
        <v>64</v>
      </c>
      <c r="E240">
        <v>1.7</v>
      </c>
      <c r="F240">
        <v>585</v>
      </c>
      <c r="G240">
        <v>13</v>
      </c>
      <c r="H240">
        <v>107</v>
      </c>
      <c r="I240">
        <v>53</v>
      </c>
      <c r="J240" t="str">
        <f>IF(Table2[[#This Row],[Age]]&lt;=24, "18 - 24", IF(Table2[[#This Row],[Age]]&lt;=34, "25 - 34", IF(Table2[[#This Row],[Age]]&lt;=44, "35 - 44", IF(Table2[[#This Row],[Age]]&lt;=54, "45 - 54", "55 - 59"))))</f>
        <v>45 - 54</v>
      </c>
      <c r="K240" t="str">
        <f>IF(Table2[[#This Row],[Age]]&lt;=24, "Young Adults", IF(Table2[[#This Row],[Age]]&lt;=34, "Early Career", IF(Table2[[#This Row],[Age]]&lt;=44, "Mid Career", IF(Table2[[#This Row],[Age]]&lt;=54, "Mature Adults", "Pre-retirment"))))</f>
        <v>Mature Adults</v>
      </c>
      <c r="L240" t="s">
        <v>13</v>
      </c>
      <c r="M240">
        <v>1</v>
      </c>
      <c r="N240" t="str">
        <f t="shared" si="3"/>
        <v>Light User</v>
      </c>
    </row>
    <row r="241" spans="1:14" x14ac:dyDescent="0.25">
      <c r="A241">
        <v>240</v>
      </c>
      <c r="B241" t="s">
        <v>17</v>
      </c>
      <c r="C241" t="s">
        <v>18</v>
      </c>
      <c r="D241">
        <v>573</v>
      </c>
      <c r="E241">
        <v>10.8</v>
      </c>
      <c r="F241">
        <v>2711</v>
      </c>
      <c r="G241">
        <v>96</v>
      </c>
      <c r="H241">
        <v>2118</v>
      </c>
      <c r="I241">
        <v>33</v>
      </c>
      <c r="J241" t="str">
        <f>IF(Table2[[#This Row],[Age]]&lt;=24, "18 - 24", IF(Table2[[#This Row],[Age]]&lt;=34, "25 - 34", IF(Table2[[#This Row],[Age]]&lt;=44, "35 - 44", IF(Table2[[#This Row],[Age]]&lt;=54, "45 - 54", "55 - 59"))))</f>
        <v>25 - 34</v>
      </c>
      <c r="K241" t="str">
        <f>IF(Table2[[#This Row],[Age]]&lt;=24, "Young Adults", IF(Table2[[#This Row],[Age]]&lt;=34, "Early Career", IF(Table2[[#This Row],[Age]]&lt;=44, "Mid Career", IF(Table2[[#This Row],[Age]]&lt;=54, "Mature Adults", "Pre-retirment"))))</f>
        <v>Early Career</v>
      </c>
      <c r="L241" t="s">
        <v>15</v>
      </c>
      <c r="M241">
        <v>5</v>
      </c>
      <c r="N241" t="str">
        <f t="shared" si="3"/>
        <v>Heavy User</v>
      </c>
    </row>
    <row r="242" spans="1:14" x14ac:dyDescent="0.25">
      <c r="A242">
        <v>241</v>
      </c>
      <c r="B242" t="s">
        <v>11</v>
      </c>
      <c r="C242" t="s">
        <v>12</v>
      </c>
      <c r="D242">
        <v>45</v>
      </c>
      <c r="E242">
        <v>1.7</v>
      </c>
      <c r="F242">
        <v>302</v>
      </c>
      <c r="G242">
        <v>16</v>
      </c>
      <c r="H242">
        <v>191</v>
      </c>
      <c r="I242">
        <v>57</v>
      </c>
      <c r="J242" t="str">
        <f>IF(Table2[[#This Row],[Age]]&lt;=24, "18 - 24", IF(Table2[[#This Row],[Age]]&lt;=34, "25 - 34", IF(Table2[[#This Row],[Age]]&lt;=44, "35 - 44", IF(Table2[[#This Row],[Age]]&lt;=54, "45 - 54", "55 - 59"))))</f>
        <v>55 - 59</v>
      </c>
      <c r="K242" t="str">
        <f>IF(Table2[[#This Row],[Age]]&lt;=24, "Young Adults", IF(Table2[[#This Row],[Age]]&lt;=34, "Early Career", IF(Table2[[#This Row],[Age]]&lt;=44, "Mid Career", IF(Table2[[#This Row],[Age]]&lt;=54, "Mature Adults", "Pre-retirment"))))</f>
        <v>Pre-retirment</v>
      </c>
      <c r="L242" t="s">
        <v>15</v>
      </c>
      <c r="M242">
        <v>1</v>
      </c>
      <c r="N242" t="str">
        <f t="shared" si="3"/>
        <v>Light User</v>
      </c>
    </row>
    <row r="243" spans="1:14" x14ac:dyDescent="0.25">
      <c r="A243">
        <v>242</v>
      </c>
      <c r="B243" t="s">
        <v>16</v>
      </c>
      <c r="C243" t="s">
        <v>12</v>
      </c>
      <c r="D243">
        <v>564</v>
      </c>
      <c r="E243">
        <v>11.7</v>
      </c>
      <c r="F243">
        <v>2764</v>
      </c>
      <c r="G243">
        <v>81</v>
      </c>
      <c r="H243">
        <v>2133</v>
      </c>
      <c r="I243">
        <v>37</v>
      </c>
      <c r="J243" t="str">
        <f>IF(Table2[[#This Row],[Age]]&lt;=24, "18 - 24", IF(Table2[[#This Row],[Age]]&lt;=34, "25 - 34", IF(Table2[[#This Row],[Age]]&lt;=44, "35 - 44", IF(Table2[[#This Row],[Age]]&lt;=54, "45 - 54", "55 - 59"))))</f>
        <v>35 - 44</v>
      </c>
      <c r="K243" t="str">
        <f>IF(Table2[[#This Row],[Age]]&lt;=24, "Young Adults", IF(Table2[[#This Row],[Age]]&lt;=34, "Early Career", IF(Table2[[#This Row],[Age]]&lt;=44, "Mid Career", IF(Table2[[#This Row],[Age]]&lt;=54, "Mature Adults", "Pre-retirment"))))</f>
        <v>Mid Career</v>
      </c>
      <c r="L243" t="s">
        <v>15</v>
      </c>
      <c r="M243">
        <v>5</v>
      </c>
      <c r="N243" t="str">
        <f t="shared" si="3"/>
        <v>Heavy User</v>
      </c>
    </row>
    <row r="244" spans="1:14" x14ac:dyDescent="0.25">
      <c r="A244">
        <v>243</v>
      </c>
      <c r="B244" t="s">
        <v>14</v>
      </c>
      <c r="C244" t="s">
        <v>12</v>
      </c>
      <c r="D244">
        <v>162</v>
      </c>
      <c r="E244">
        <v>3.5</v>
      </c>
      <c r="F244">
        <v>761</v>
      </c>
      <c r="G244">
        <v>36</v>
      </c>
      <c r="H244">
        <v>338</v>
      </c>
      <c r="I244">
        <v>51</v>
      </c>
      <c r="J244" t="str">
        <f>IF(Table2[[#This Row],[Age]]&lt;=24, "18 - 24", IF(Table2[[#This Row],[Age]]&lt;=34, "25 - 34", IF(Table2[[#This Row],[Age]]&lt;=44, "35 - 44", IF(Table2[[#This Row],[Age]]&lt;=54, "45 - 54", "55 - 59"))))</f>
        <v>45 - 54</v>
      </c>
      <c r="K244" t="str">
        <f>IF(Table2[[#This Row],[Age]]&lt;=24, "Young Adults", IF(Table2[[#This Row],[Age]]&lt;=34, "Early Career", IF(Table2[[#This Row],[Age]]&lt;=44, "Mid Career", IF(Table2[[#This Row],[Age]]&lt;=54, "Mature Adults", "Pre-retirment"))))</f>
        <v>Mature Adults</v>
      </c>
      <c r="L244" t="s">
        <v>13</v>
      </c>
      <c r="M244">
        <v>2</v>
      </c>
      <c r="N244" t="str">
        <f t="shared" si="3"/>
        <v>Light User</v>
      </c>
    </row>
    <row r="245" spans="1:14" x14ac:dyDescent="0.25">
      <c r="A245">
        <v>244</v>
      </c>
      <c r="B245" t="s">
        <v>19</v>
      </c>
      <c r="C245" t="s">
        <v>12</v>
      </c>
      <c r="D245">
        <v>451</v>
      </c>
      <c r="E245">
        <v>6.5</v>
      </c>
      <c r="F245">
        <v>2378</v>
      </c>
      <c r="G245">
        <v>69</v>
      </c>
      <c r="H245">
        <v>1341</v>
      </c>
      <c r="I245">
        <v>44</v>
      </c>
      <c r="J245" t="str">
        <f>IF(Table2[[#This Row],[Age]]&lt;=24, "18 - 24", IF(Table2[[#This Row],[Age]]&lt;=34, "25 - 34", IF(Table2[[#This Row],[Age]]&lt;=44, "35 - 44", IF(Table2[[#This Row],[Age]]&lt;=54, "45 - 54", "55 - 59"))))</f>
        <v>35 - 44</v>
      </c>
      <c r="K245" t="str">
        <f>IF(Table2[[#This Row],[Age]]&lt;=24, "Young Adults", IF(Table2[[#This Row],[Age]]&lt;=34, "Early Career", IF(Table2[[#This Row],[Age]]&lt;=44, "Mid Career", IF(Table2[[#This Row],[Age]]&lt;=54, "Mature Adults", "Pre-retirment"))))</f>
        <v>Mid Career</v>
      </c>
      <c r="L245" t="s">
        <v>13</v>
      </c>
      <c r="M245">
        <v>4</v>
      </c>
      <c r="N245" t="str">
        <f t="shared" si="3"/>
        <v>Heavy User</v>
      </c>
    </row>
    <row r="246" spans="1:14" x14ac:dyDescent="0.25">
      <c r="A246">
        <v>245</v>
      </c>
      <c r="B246" t="s">
        <v>14</v>
      </c>
      <c r="C246" t="s">
        <v>12</v>
      </c>
      <c r="D246">
        <v>30</v>
      </c>
      <c r="E246">
        <v>1.3</v>
      </c>
      <c r="F246">
        <v>479</v>
      </c>
      <c r="G246">
        <v>16</v>
      </c>
      <c r="H246">
        <v>253</v>
      </c>
      <c r="I246">
        <v>35</v>
      </c>
      <c r="J246" t="str">
        <f>IF(Table2[[#This Row],[Age]]&lt;=24, "18 - 24", IF(Table2[[#This Row],[Age]]&lt;=34, "25 - 34", IF(Table2[[#This Row],[Age]]&lt;=44, "35 - 44", IF(Table2[[#This Row],[Age]]&lt;=54, "45 - 54", "55 - 59"))))</f>
        <v>35 - 44</v>
      </c>
      <c r="K246" t="str">
        <f>IF(Table2[[#This Row],[Age]]&lt;=24, "Young Adults", IF(Table2[[#This Row],[Age]]&lt;=34, "Early Career", IF(Table2[[#This Row],[Age]]&lt;=44, "Mid Career", IF(Table2[[#This Row],[Age]]&lt;=54, "Mature Adults", "Pre-retirment"))))</f>
        <v>Mid Career</v>
      </c>
      <c r="L246" t="s">
        <v>13</v>
      </c>
      <c r="M246">
        <v>1</v>
      </c>
      <c r="N246" t="str">
        <f t="shared" si="3"/>
        <v>Light User</v>
      </c>
    </row>
    <row r="247" spans="1:14" x14ac:dyDescent="0.25">
      <c r="A247">
        <v>246</v>
      </c>
      <c r="B247" t="s">
        <v>19</v>
      </c>
      <c r="C247" t="s">
        <v>12</v>
      </c>
      <c r="D247">
        <v>202</v>
      </c>
      <c r="E247">
        <v>5</v>
      </c>
      <c r="F247">
        <v>1542</v>
      </c>
      <c r="G247">
        <v>45</v>
      </c>
      <c r="H247">
        <v>844</v>
      </c>
      <c r="I247">
        <v>29</v>
      </c>
      <c r="J247" t="str">
        <f>IF(Table2[[#This Row],[Age]]&lt;=24, "18 - 24", IF(Table2[[#This Row],[Age]]&lt;=34, "25 - 34", IF(Table2[[#This Row],[Age]]&lt;=44, "35 - 44", IF(Table2[[#This Row],[Age]]&lt;=54, "45 - 54", "55 - 59"))))</f>
        <v>25 - 34</v>
      </c>
      <c r="K247" t="str">
        <f>IF(Table2[[#This Row],[Age]]&lt;=24, "Young Adults", IF(Table2[[#This Row],[Age]]&lt;=34, "Early Career", IF(Table2[[#This Row],[Age]]&lt;=44, "Mid Career", IF(Table2[[#This Row],[Age]]&lt;=54, "Mature Adults", "Pre-retirment"))))</f>
        <v>Early Career</v>
      </c>
      <c r="L247" t="s">
        <v>13</v>
      </c>
      <c r="M247">
        <v>3</v>
      </c>
      <c r="N247" t="str">
        <f t="shared" si="3"/>
        <v>Moderate User</v>
      </c>
    </row>
    <row r="248" spans="1:14" x14ac:dyDescent="0.25">
      <c r="A248">
        <v>247</v>
      </c>
      <c r="B248" t="s">
        <v>11</v>
      </c>
      <c r="C248" t="s">
        <v>12</v>
      </c>
      <c r="D248">
        <v>71</v>
      </c>
      <c r="E248">
        <v>1.5</v>
      </c>
      <c r="F248">
        <v>590</v>
      </c>
      <c r="G248">
        <v>17</v>
      </c>
      <c r="H248">
        <v>257</v>
      </c>
      <c r="I248">
        <v>33</v>
      </c>
      <c r="J248" t="str">
        <f>IF(Table2[[#This Row],[Age]]&lt;=24, "18 - 24", IF(Table2[[#This Row],[Age]]&lt;=34, "25 - 34", IF(Table2[[#This Row],[Age]]&lt;=44, "35 - 44", IF(Table2[[#This Row],[Age]]&lt;=54, "45 - 54", "55 - 59"))))</f>
        <v>25 - 34</v>
      </c>
      <c r="K248" t="str">
        <f>IF(Table2[[#This Row],[Age]]&lt;=24, "Young Adults", IF(Table2[[#This Row],[Age]]&lt;=34, "Early Career", IF(Table2[[#This Row],[Age]]&lt;=44, "Mid Career", IF(Table2[[#This Row],[Age]]&lt;=54, "Mature Adults", "Pre-retirment"))))</f>
        <v>Early Career</v>
      </c>
      <c r="L248" t="s">
        <v>13</v>
      </c>
      <c r="M248">
        <v>1</v>
      </c>
      <c r="N248" t="str">
        <f t="shared" si="3"/>
        <v>Light User</v>
      </c>
    </row>
    <row r="249" spans="1:14" x14ac:dyDescent="0.25">
      <c r="A249">
        <v>248</v>
      </c>
      <c r="B249" t="s">
        <v>11</v>
      </c>
      <c r="C249" t="s">
        <v>12</v>
      </c>
      <c r="D249">
        <v>314</v>
      </c>
      <c r="E249">
        <v>6.2</v>
      </c>
      <c r="F249">
        <v>2205</v>
      </c>
      <c r="G249">
        <v>63</v>
      </c>
      <c r="H249">
        <v>1066</v>
      </c>
      <c r="I249">
        <v>19</v>
      </c>
      <c r="J249" t="str">
        <f>IF(Table2[[#This Row],[Age]]&lt;=24, "18 - 24", IF(Table2[[#This Row],[Age]]&lt;=34, "25 - 34", IF(Table2[[#This Row],[Age]]&lt;=44, "35 - 44", IF(Table2[[#This Row],[Age]]&lt;=54, "45 - 54", "55 - 59"))))</f>
        <v>18 - 24</v>
      </c>
      <c r="K249" t="str">
        <f>IF(Table2[[#This Row],[Age]]&lt;=24, "Young Adults", IF(Table2[[#This Row],[Age]]&lt;=34, "Early Career", IF(Table2[[#This Row],[Age]]&lt;=44, "Mid Career", IF(Table2[[#This Row],[Age]]&lt;=54, "Mature Adults", "Pre-retirment"))))</f>
        <v>Young Adults</v>
      </c>
      <c r="L249" t="s">
        <v>13</v>
      </c>
      <c r="M249">
        <v>4</v>
      </c>
      <c r="N249" t="str">
        <f t="shared" si="3"/>
        <v>Heavy User</v>
      </c>
    </row>
    <row r="250" spans="1:14" x14ac:dyDescent="0.25">
      <c r="A250">
        <v>249</v>
      </c>
      <c r="B250" t="s">
        <v>16</v>
      </c>
      <c r="C250" t="s">
        <v>12</v>
      </c>
      <c r="D250">
        <v>168</v>
      </c>
      <c r="E250">
        <v>4</v>
      </c>
      <c r="F250">
        <v>866</v>
      </c>
      <c r="G250">
        <v>22</v>
      </c>
      <c r="H250">
        <v>581</v>
      </c>
      <c r="I250">
        <v>50</v>
      </c>
      <c r="J250" t="str">
        <f>IF(Table2[[#This Row],[Age]]&lt;=24, "18 - 24", IF(Table2[[#This Row],[Age]]&lt;=34, "25 - 34", IF(Table2[[#This Row],[Age]]&lt;=44, "35 - 44", IF(Table2[[#This Row],[Age]]&lt;=54, "45 - 54", "55 - 59"))))</f>
        <v>45 - 54</v>
      </c>
      <c r="K250" t="str">
        <f>IF(Table2[[#This Row],[Age]]&lt;=24, "Young Adults", IF(Table2[[#This Row],[Age]]&lt;=34, "Early Career", IF(Table2[[#This Row],[Age]]&lt;=44, "Mid Career", IF(Table2[[#This Row],[Age]]&lt;=54, "Mature Adults", "Pre-retirment"))))</f>
        <v>Mature Adults</v>
      </c>
      <c r="L250" t="s">
        <v>15</v>
      </c>
      <c r="M250">
        <v>2</v>
      </c>
      <c r="N250" t="str">
        <f t="shared" si="3"/>
        <v>Light User</v>
      </c>
    </row>
    <row r="251" spans="1:14" x14ac:dyDescent="0.25">
      <c r="A251">
        <v>250</v>
      </c>
      <c r="B251" t="s">
        <v>11</v>
      </c>
      <c r="C251" t="s">
        <v>12</v>
      </c>
      <c r="D251">
        <v>75</v>
      </c>
      <c r="E251">
        <v>1.9</v>
      </c>
      <c r="F251">
        <v>537</v>
      </c>
      <c r="G251">
        <v>13</v>
      </c>
      <c r="H251">
        <v>230</v>
      </c>
      <c r="I251">
        <v>58</v>
      </c>
      <c r="J251" t="str">
        <f>IF(Table2[[#This Row],[Age]]&lt;=24, "18 - 24", IF(Table2[[#This Row],[Age]]&lt;=34, "25 - 34", IF(Table2[[#This Row],[Age]]&lt;=44, "35 - 44", IF(Table2[[#This Row],[Age]]&lt;=54, "45 - 54", "55 - 59"))))</f>
        <v>55 - 59</v>
      </c>
      <c r="K251" t="str">
        <f>IF(Table2[[#This Row],[Age]]&lt;=24, "Young Adults", IF(Table2[[#This Row],[Age]]&lt;=34, "Early Career", IF(Table2[[#This Row],[Age]]&lt;=44, "Mid Career", IF(Table2[[#This Row],[Age]]&lt;=54, "Mature Adults", "Pre-retirment"))))</f>
        <v>Pre-retirment</v>
      </c>
      <c r="L251" t="s">
        <v>15</v>
      </c>
      <c r="M251">
        <v>1</v>
      </c>
      <c r="N251" t="str">
        <f t="shared" si="3"/>
        <v>Light User</v>
      </c>
    </row>
    <row r="252" spans="1:14" x14ac:dyDescent="0.25">
      <c r="A252">
        <v>251</v>
      </c>
      <c r="B252" t="s">
        <v>14</v>
      </c>
      <c r="C252" t="s">
        <v>12</v>
      </c>
      <c r="D252">
        <v>42</v>
      </c>
      <c r="E252">
        <v>1.4</v>
      </c>
      <c r="F252">
        <v>324</v>
      </c>
      <c r="G252">
        <v>13</v>
      </c>
      <c r="H252">
        <v>272</v>
      </c>
      <c r="I252">
        <v>29</v>
      </c>
      <c r="J252" t="str">
        <f>IF(Table2[[#This Row],[Age]]&lt;=24, "18 - 24", IF(Table2[[#This Row],[Age]]&lt;=34, "25 - 34", IF(Table2[[#This Row],[Age]]&lt;=44, "35 - 44", IF(Table2[[#This Row],[Age]]&lt;=54, "45 - 54", "55 - 59"))))</f>
        <v>25 - 34</v>
      </c>
      <c r="K252" t="str">
        <f>IF(Table2[[#This Row],[Age]]&lt;=24, "Young Adults", IF(Table2[[#This Row],[Age]]&lt;=34, "Early Career", IF(Table2[[#This Row],[Age]]&lt;=44, "Mid Career", IF(Table2[[#This Row],[Age]]&lt;=54, "Mature Adults", "Pre-retirment"))))</f>
        <v>Early Career</v>
      </c>
      <c r="L252" t="s">
        <v>15</v>
      </c>
      <c r="M252">
        <v>1</v>
      </c>
      <c r="N252" t="str">
        <f t="shared" si="3"/>
        <v>Light User</v>
      </c>
    </row>
    <row r="253" spans="1:14" x14ac:dyDescent="0.25">
      <c r="A253">
        <v>252</v>
      </c>
      <c r="B253" t="s">
        <v>14</v>
      </c>
      <c r="C253" t="s">
        <v>12</v>
      </c>
      <c r="D253">
        <v>441</v>
      </c>
      <c r="E253">
        <v>7.9</v>
      </c>
      <c r="F253">
        <v>2332</v>
      </c>
      <c r="G253">
        <v>78</v>
      </c>
      <c r="H253">
        <v>1477</v>
      </c>
      <c r="I253">
        <v>23</v>
      </c>
      <c r="J253" t="str">
        <f>IF(Table2[[#This Row],[Age]]&lt;=24, "18 - 24", IF(Table2[[#This Row],[Age]]&lt;=34, "25 - 34", IF(Table2[[#This Row],[Age]]&lt;=44, "35 - 44", IF(Table2[[#This Row],[Age]]&lt;=54, "45 - 54", "55 - 59"))))</f>
        <v>18 - 24</v>
      </c>
      <c r="K253" t="str">
        <f>IF(Table2[[#This Row],[Age]]&lt;=24, "Young Adults", IF(Table2[[#This Row],[Age]]&lt;=34, "Early Career", IF(Table2[[#This Row],[Age]]&lt;=44, "Mid Career", IF(Table2[[#This Row],[Age]]&lt;=54, "Mature Adults", "Pre-retirment"))))</f>
        <v>Young Adults</v>
      </c>
      <c r="L253" t="s">
        <v>15</v>
      </c>
      <c r="M253">
        <v>4</v>
      </c>
      <c r="N253" t="str">
        <f t="shared" si="3"/>
        <v>Heavy User</v>
      </c>
    </row>
    <row r="254" spans="1:14" x14ac:dyDescent="0.25">
      <c r="A254">
        <v>253</v>
      </c>
      <c r="B254" t="s">
        <v>11</v>
      </c>
      <c r="C254" t="s">
        <v>12</v>
      </c>
      <c r="D254">
        <v>523</v>
      </c>
      <c r="E254">
        <v>10.5</v>
      </c>
      <c r="F254">
        <v>2460</v>
      </c>
      <c r="G254">
        <v>99</v>
      </c>
      <c r="H254">
        <v>1787</v>
      </c>
      <c r="I254">
        <v>22</v>
      </c>
      <c r="J254" t="str">
        <f>IF(Table2[[#This Row],[Age]]&lt;=24, "18 - 24", IF(Table2[[#This Row],[Age]]&lt;=34, "25 - 34", IF(Table2[[#This Row],[Age]]&lt;=44, "35 - 44", IF(Table2[[#This Row],[Age]]&lt;=54, "45 - 54", "55 - 59"))))</f>
        <v>18 - 24</v>
      </c>
      <c r="K254" t="str">
        <f>IF(Table2[[#This Row],[Age]]&lt;=24, "Young Adults", IF(Table2[[#This Row],[Age]]&lt;=34, "Early Career", IF(Table2[[#This Row],[Age]]&lt;=44, "Mid Career", IF(Table2[[#This Row],[Age]]&lt;=54, "Mature Adults", "Pre-retirment"))))</f>
        <v>Young Adults</v>
      </c>
      <c r="L254" t="s">
        <v>13</v>
      </c>
      <c r="M254">
        <v>5</v>
      </c>
      <c r="N254" t="str">
        <f t="shared" si="3"/>
        <v>Heavy User</v>
      </c>
    </row>
    <row r="255" spans="1:14" x14ac:dyDescent="0.25">
      <c r="A255">
        <v>254</v>
      </c>
      <c r="B255" t="s">
        <v>16</v>
      </c>
      <c r="C255" t="s">
        <v>12</v>
      </c>
      <c r="D255">
        <v>100</v>
      </c>
      <c r="E255">
        <v>2.4</v>
      </c>
      <c r="F255">
        <v>982</v>
      </c>
      <c r="G255">
        <v>31</v>
      </c>
      <c r="H255">
        <v>478</v>
      </c>
      <c r="I255">
        <v>48</v>
      </c>
      <c r="J255" t="str">
        <f>IF(Table2[[#This Row],[Age]]&lt;=24, "18 - 24", IF(Table2[[#This Row],[Age]]&lt;=34, "25 - 34", IF(Table2[[#This Row],[Age]]&lt;=44, "35 - 44", IF(Table2[[#This Row],[Age]]&lt;=54, "45 - 54", "55 - 59"))))</f>
        <v>45 - 54</v>
      </c>
      <c r="K255" t="str">
        <f>IF(Table2[[#This Row],[Age]]&lt;=24, "Young Adults", IF(Table2[[#This Row],[Age]]&lt;=34, "Early Career", IF(Table2[[#This Row],[Age]]&lt;=44, "Mid Career", IF(Table2[[#This Row],[Age]]&lt;=54, "Mature Adults", "Pre-retirment"))))</f>
        <v>Mature Adults</v>
      </c>
      <c r="L255" t="s">
        <v>15</v>
      </c>
      <c r="M255">
        <v>2</v>
      </c>
      <c r="N255" t="str">
        <f t="shared" si="3"/>
        <v>Light User</v>
      </c>
    </row>
    <row r="256" spans="1:14" x14ac:dyDescent="0.25">
      <c r="A256">
        <v>255</v>
      </c>
      <c r="B256" t="s">
        <v>14</v>
      </c>
      <c r="C256" t="s">
        <v>12</v>
      </c>
      <c r="D256">
        <v>52</v>
      </c>
      <c r="E256">
        <v>1.2</v>
      </c>
      <c r="F256">
        <v>398</v>
      </c>
      <c r="G256">
        <v>14</v>
      </c>
      <c r="H256">
        <v>172</v>
      </c>
      <c r="I256">
        <v>24</v>
      </c>
      <c r="J256" t="str">
        <f>IF(Table2[[#This Row],[Age]]&lt;=24, "18 - 24", IF(Table2[[#This Row],[Age]]&lt;=34, "25 - 34", IF(Table2[[#This Row],[Age]]&lt;=44, "35 - 44", IF(Table2[[#This Row],[Age]]&lt;=54, "45 - 54", "55 - 59"))))</f>
        <v>18 - 24</v>
      </c>
      <c r="K256" t="str">
        <f>IF(Table2[[#This Row],[Age]]&lt;=24, "Young Adults", IF(Table2[[#This Row],[Age]]&lt;=34, "Early Career", IF(Table2[[#This Row],[Age]]&lt;=44, "Mid Career", IF(Table2[[#This Row],[Age]]&lt;=54, "Mature Adults", "Pre-retirment"))))</f>
        <v>Young Adults</v>
      </c>
      <c r="L256" t="s">
        <v>15</v>
      </c>
      <c r="M256">
        <v>1</v>
      </c>
      <c r="N256" t="str">
        <f t="shared" si="3"/>
        <v>Light User</v>
      </c>
    </row>
    <row r="257" spans="1:14" x14ac:dyDescent="0.25">
      <c r="A257">
        <v>256</v>
      </c>
      <c r="B257" t="s">
        <v>14</v>
      </c>
      <c r="C257" t="s">
        <v>12</v>
      </c>
      <c r="D257">
        <v>397</v>
      </c>
      <c r="E257">
        <v>7</v>
      </c>
      <c r="F257">
        <v>2352</v>
      </c>
      <c r="G257">
        <v>77</v>
      </c>
      <c r="H257">
        <v>1101</v>
      </c>
      <c r="I257">
        <v>46</v>
      </c>
      <c r="J257" t="str">
        <f>IF(Table2[[#This Row],[Age]]&lt;=24, "18 - 24", IF(Table2[[#This Row],[Age]]&lt;=34, "25 - 34", IF(Table2[[#This Row],[Age]]&lt;=44, "35 - 44", IF(Table2[[#This Row],[Age]]&lt;=54, "45 - 54", "55 - 59"))))</f>
        <v>45 - 54</v>
      </c>
      <c r="K257" t="str">
        <f>IF(Table2[[#This Row],[Age]]&lt;=24, "Young Adults", IF(Table2[[#This Row],[Age]]&lt;=34, "Early Career", IF(Table2[[#This Row],[Age]]&lt;=44, "Mid Career", IF(Table2[[#This Row],[Age]]&lt;=54, "Mature Adults", "Pre-retirment"))))</f>
        <v>Mature Adults</v>
      </c>
      <c r="L257" t="s">
        <v>15</v>
      </c>
      <c r="M257">
        <v>4</v>
      </c>
      <c r="N257" t="str">
        <f t="shared" si="3"/>
        <v>Heavy User</v>
      </c>
    </row>
    <row r="258" spans="1:14" x14ac:dyDescent="0.25">
      <c r="A258">
        <v>257</v>
      </c>
      <c r="B258" t="s">
        <v>16</v>
      </c>
      <c r="C258" t="s">
        <v>12</v>
      </c>
      <c r="D258">
        <v>424</v>
      </c>
      <c r="E258">
        <v>7.7</v>
      </c>
      <c r="F258">
        <v>1863</v>
      </c>
      <c r="G258">
        <v>65</v>
      </c>
      <c r="H258">
        <v>1116</v>
      </c>
      <c r="I258">
        <v>52</v>
      </c>
      <c r="J258" t="str">
        <f>IF(Table2[[#This Row],[Age]]&lt;=24, "18 - 24", IF(Table2[[#This Row],[Age]]&lt;=34, "25 - 34", IF(Table2[[#This Row],[Age]]&lt;=44, "35 - 44", IF(Table2[[#This Row],[Age]]&lt;=54, "45 - 54", "55 - 59"))))</f>
        <v>45 - 54</v>
      </c>
      <c r="K258" t="str">
        <f>IF(Table2[[#This Row],[Age]]&lt;=24, "Young Adults", IF(Table2[[#This Row],[Age]]&lt;=34, "Early Career", IF(Table2[[#This Row],[Age]]&lt;=44, "Mid Career", IF(Table2[[#This Row],[Age]]&lt;=54, "Mature Adults", "Pre-retirment"))))</f>
        <v>Mature Adults</v>
      </c>
      <c r="L258" t="s">
        <v>13</v>
      </c>
      <c r="M258">
        <v>4</v>
      </c>
      <c r="N258" t="str">
        <f t="shared" si="3"/>
        <v>Heavy User</v>
      </c>
    </row>
    <row r="259" spans="1:14" x14ac:dyDescent="0.25">
      <c r="A259">
        <v>258</v>
      </c>
      <c r="B259" t="s">
        <v>16</v>
      </c>
      <c r="C259" t="s">
        <v>12</v>
      </c>
      <c r="D259">
        <v>272</v>
      </c>
      <c r="E259">
        <v>5</v>
      </c>
      <c r="F259">
        <v>1655</v>
      </c>
      <c r="G259">
        <v>45</v>
      </c>
      <c r="H259">
        <v>686</v>
      </c>
      <c r="I259">
        <v>19</v>
      </c>
      <c r="J259" t="str">
        <f>IF(Table2[[#This Row],[Age]]&lt;=24, "18 - 24", IF(Table2[[#This Row],[Age]]&lt;=34, "25 - 34", IF(Table2[[#This Row],[Age]]&lt;=44, "35 - 44", IF(Table2[[#This Row],[Age]]&lt;=54, "45 - 54", "55 - 59"))))</f>
        <v>18 - 24</v>
      </c>
      <c r="K259" t="str">
        <f>IF(Table2[[#This Row],[Age]]&lt;=24, "Young Adults", IF(Table2[[#This Row],[Age]]&lt;=34, "Early Career", IF(Table2[[#This Row],[Age]]&lt;=44, "Mid Career", IF(Table2[[#This Row],[Age]]&lt;=54, "Mature Adults", "Pre-retirment"))))</f>
        <v>Young Adults</v>
      </c>
      <c r="L259" t="s">
        <v>15</v>
      </c>
      <c r="M259">
        <v>3</v>
      </c>
      <c r="N259" t="str">
        <f t="shared" ref="N259:N322" si="4">IF(M259&lt;=2, "Light User", IF(M259=3, "Moderate User", "Heavy User"))</f>
        <v>Moderate User</v>
      </c>
    </row>
    <row r="260" spans="1:14" x14ac:dyDescent="0.25">
      <c r="A260">
        <v>259</v>
      </c>
      <c r="B260" t="s">
        <v>16</v>
      </c>
      <c r="C260" t="s">
        <v>12</v>
      </c>
      <c r="D260">
        <v>201</v>
      </c>
      <c r="E260">
        <v>4</v>
      </c>
      <c r="F260">
        <v>1791</v>
      </c>
      <c r="G260">
        <v>50</v>
      </c>
      <c r="H260">
        <v>914</v>
      </c>
      <c r="I260">
        <v>18</v>
      </c>
      <c r="J260" t="str">
        <f>IF(Table2[[#This Row],[Age]]&lt;=24, "18 - 24", IF(Table2[[#This Row],[Age]]&lt;=34, "25 - 34", IF(Table2[[#This Row],[Age]]&lt;=44, "35 - 44", IF(Table2[[#This Row],[Age]]&lt;=54, "45 - 54", "55 - 59"))))</f>
        <v>18 - 24</v>
      </c>
      <c r="K260" t="str">
        <f>IF(Table2[[#This Row],[Age]]&lt;=24, "Young Adults", IF(Table2[[#This Row],[Age]]&lt;=34, "Early Career", IF(Table2[[#This Row],[Age]]&lt;=44, "Mid Career", IF(Table2[[#This Row],[Age]]&lt;=54, "Mature Adults", "Pre-retirment"))))</f>
        <v>Young Adults</v>
      </c>
      <c r="L260" t="s">
        <v>13</v>
      </c>
      <c r="M260">
        <v>3</v>
      </c>
      <c r="N260" t="str">
        <f t="shared" si="4"/>
        <v>Moderate User</v>
      </c>
    </row>
    <row r="261" spans="1:14" x14ac:dyDescent="0.25">
      <c r="A261">
        <v>260</v>
      </c>
      <c r="B261" t="s">
        <v>16</v>
      </c>
      <c r="C261" t="s">
        <v>12</v>
      </c>
      <c r="D261">
        <v>570</v>
      </c>
      <c r="E261">
        <v>9</v>
      </c>
      <c r="F261">
        <v>2613</v>
      </c>
      <c r="G261">
        <v>98</v>
      </c>
      <c r="H261">
        <v>2497</v>
      </c>
      <c r="I261">
        <v>49</v>
      </c>
      <c r="J261" t="str">
        <f>IF(Table2[[#This Row],[Age]]&lt;=24, "18 - 24", IF(Table2[[#This Row],[Age]]&lt;=34, "25 - 34", IF(Table2[[#This Row],[Age]]&lt;=44, "35 - 44", IF(Table2[[#This Row],[Age]]&lt;=54, "45 - 54", "55 - 59"))))</f>
        <v>45 - 54</v>
      </c>
      <c r="K261" t="str">
        <f>IF(Table2[[#This Row],[Age]]&lt;=24, "Young Adults", IF(Table2[[#This Row],[Age]]&lt;=34, "Early Career", IF(Table2[[#This Row],[Age]]&lt;=44, "Mid Career", IF(Table2[[#This Row],[Age]]&lt;=54, "Mature Adults", "Pre-retirment"))))</f>
        <v>Mature Adults</v>
      </c>
      <c r="L261" t="s">
        <v>15</v>
      </c>
      <c r="M261">
        <v>5</v>
      </c>
      <c r="N261" t="str">
        <f t="shared" si="4"/>
        <v>Heavy User</v>
      </c>
    </row>
    <row r="262" spans="1:14" x14ac:dyDescent="0.25">
      <c r="A262">
        <v>261</v>
      </c>
      <c r="B262" t="s">
        <v>16</v>
      </c>
      <c r="C262" t="s">
        <v>12</v>
      </c>
      <c r="D262">
        <v>64</v>
      </c>
      <c r="E262">
        <v>1.3</v>
      </c>
      <c r="F262">
        <v>490</v>
      </c>
      <c r="G262">
        <v>14</v>
      </c>
      <c r="H262">
        <v>151</v>
      </c>
      <c r="I262">
        <v>43</v>
      </c>
      <c r="J262" t="str">
        <f>IF(Table2[[#This Row],[Age]]&lt;=24, "18 - 24", IF(Table2[[#This Row],[Age]]&lt;=34, "25 - 34", IF(Table2[[#This Row],[Age]]&lt;=44, "35 - 44", IF(Table2[[#This Row],[Age]]&lt;=54, "45 - 54", "55 - 59"))))</f>
        <v>35 - 44</v>
      </c>
      <c r="K262" t="str">
        <f>IF(Table2[[#This Row],[Age]]&lt;=24, "Young Adults", IF(Table2[[#This Row],[Age]]&lt;=34, "Early Career", IF(Table2[[#This Row],[Age]]&lt;=44, "Mid Career", IF(Table2[[#This Row],[Age]]&lt;=54, "Mature Adults", "Pre-retirment"))))</f>
        <v>Mid Career</v>
      </c>
      <c r="L262" t="s">
        <v>15</v>
      </c>
      <c r="M262">
        <v>1</v>
      </c>
      <c r="N262" t="str">
        <f t="shared" si="4"/>
        <v>Light User</v>
      </c>
    </row>
    <row r="263" spans="1:14" x14ac:dyDescent="0.25">
      <c r="A263">
        <v>262</v>
      </c>
      <c r="B263" t="s">
        <v>17</v>
      </c>
      <c r="C263" t="s">
        <v>18</v>
      </c>
      <c r="D263">
        <v>334</v>
      </c>
      <c r="E263">
        <v>6.6</v>
      </c>
      <c r="F263">
        <v>2394</v>
      </c>
      <c r="G263">
        <v>68</v>
      </c>
      <c r="H263">
        <v>1227</v>
      </c>
      <c r="I263">
        <v>46</v>
      </c>
      <c r="J263" t="str">
        <f>IF(Table2[[#This Row],[Age]]&lt;=24, "18 - 24", IF(Table2[[#This Row],[Age]]&lt;=34, "25 - 34", IF(Table2[[#This Row],[Age]]&lt;=44, "35 - 44", IF(Table2[[#This Row],[Age]]&lt;=54, "45 - 54", "55 - 59"))))</f>
        <v>45 - 54</v>
      </c>
      <c r="K263" t="str">
        <f>IF(Table2[[#This Row],[Age]]&lt;=24, "Young Adults", IF(Table2[[#This Row],[Age]]&lt;=34, "Early Career", IF(Table2[[#This Row],[Age]]&lt;=44, "Mid Career", IF(Table2[[#This Row],[Age]]&lt;=54, "Mature Adults", "Pre-retirment"))))</f>
        <v>Mature Adults</v>
      </c>
      <c r="L263" t="s">
        <v>15</v>
      </c>
      <c r="M263">
        <v>4</v>
      </c>
      <c r="N263" t="str">
        <f t="shared" si="4"/>
        <v>Heavy User</v>
      </c>
    </row>
    <row r="264" spans="1:14" x14ac:dyDescent="0.25">
      <c r="A264">
        <v>263</v>
      </c>
      <c r="B264" t="s">
        <v>17</v>
      </c>
      <c r="C264" t="s">
        <v>18</v>
      </c>
      <c r="D264">
        <v>518</v>
      </c>
      <c r="E264">
        <v>9.6</v>
      </c>
      <c r="F264">
        <v>2954</v>
      </c>
      <c r="G264">
        <v>93</v>
      </c>
      <c r="H264">
        <v>2125</v>
      </c>
      <c r="I264">
        <v>34</v>
      </c>
      <c r="J264" t="str">
        <f>IF(Table2[[#This Row],[Age]]&lt;=24, "18 - 24", IF(Table2[[#This Row],[Age]]&lt;=34, "25 - 34", IF(Table2[[#This Row],[Age]]&lt;=44, "35 - 44", IF(Table2[[#This Row],[Age]]&lt;=54, "45 - 54", "55 - 59"))))</f>
        <v>25 - 34</v>
      </c>
      <c r="K264" t="str">
        <f>IF(Table2[[#This Row],[Age]]&lt;=24, "Young Adults", IF(Table2[[#This Row],[Age]]&lt;=34, "Early Career", IF(Table2[[#This Row],[Age]]&lt;=44, "Mid Career", IF(Table2[[#This Row],[Age]]&lt;=54, "Mature Adults", "Pre-retirment"))))</f>
        <v>Early Career</v>
      </c>
      <c r="L264" t="s">
        <v>15</v>
      </c>
      <c r="M264">
        <v>5</v>
      </c>
      <c r="N264" t="str">
        <f t="shared" si="4"/>
        <v>Heavy User</v>
      </c>
    </row>
    <row r="265" spans="1:14" x14ac:dyDescent="0.25">
      <c r="A265">
        <v>264</v>
      </c>
      <c r="B265" t="s">
        <v>19</v>
      </c>
      <c r="C265" t="s">
        <v>12</v>
      </c>
      <c r="D265">
        <v>70</v>
      </c>
      <c r="E265">
        <v>1.7</v>
      </c>
      <c r="F265">
        <v>359</v>
      </c>
      <c r="G265">
        <v>10</v>
      </c>
      <c r="H265">
        <v>109</v>
      </c>
      <c r="I265">
        <v>57</v>
      </c>
      <c r="J265" t="str">
        <f>IF(Table2[[#This Row],[Age]]&lt;=24, "18 - 24", IF(Table2[[#This Row],[Age]]&lt;=34, "25 - 34", IF(Table2[[#This Row],[Age]]&lt;=44, "35 - 44", IF(Table2[[#This Row],[Age]]&lt;=54, "45 - 54", "55 - 59"))))</f>
        <v>55 - 59</v>
      </c>
      <c r="K265" t="str">
        <f>IF(Table2[[#This Row],[Age]]&lt;=24, "Young Adults", IF(Table2[[#This Row],[Age]]&lt;=34, "Early Career", IF(Table2[[#This Row],[Age]]&lt;=44, "Mid Career", IF(Table2[[#This Row],[Age]]&lt;=54, "Mature Adults", "Pre-retirment"))))</f>
        <v>Pre-retirment</v>
      </c>
      <c r="L265" t="s">
        <v>13</v>
      </c>
      <c r="M265">
        <v>1</v>
      </c>
      <c r="N265" t="str">
        <f t="shared" si="4"/>
        <v>Light User</v>
      </c>
    </row>
    <row r="266" spans="1:14" x14ac:dyDescent="0.25">
      <c r="A266">
        <v>265</v>
      </c>
      <c r="B266" t="s">
        <v>17</v>
      </c>
      <c r="C266" t="s">
        <v>18</v>
      </c>
      <c r="D266">
        <v>334</v>
      </c>
      <c r="E266">
        <v>6.8</v>
      </c>
      <c r="F266">
        <v>2000</v>
      </c>
      <c r="G266">
        <v>77</v>
      </c>
      <c r="H266">
        <v>1079</v>
      </c>
      <c r="I266">
        <v>40</v>
      </c>
      <c r="J266" t="str">
        <f>IF(Table2[[#This Row],[Age]]&lt;=24, "18 - 24", IF(Table2[[#This Row],[Age]]&lt;=34, "25 - 34", IF(Table2[[#This Row],[Age]]&lt;=44, "35 - 44", IF(Table2[[#This Row],[Age]]&lt;=54, "45 - 54", "55 - 59"))))</f>
        <v>35 - 44</v>
      </c>
      <c r="K266" t="str">
        <f>IF(Table2[[#This Row],[Age]]&lt;=24, "Young Adults", IF(Table2[[#This Row],[Age]]&lt;=34, "Early Career", IF(Table2[[#This Row],[Age]]&lt;=44, "Mid Career", IF(Table2[[#This Row],[Age]]&lt;=54, "Mature Adults", "Pre-retirment"))))</f>
        <v>Mid Career</v>
      </c>
      <c r="L266" t="s">
        <v>15</v>
      </c>
      <c r="M266">
        <v>4</v>
      </c>
      <c r="N266" t="str">
        <f t="shared" si="4"/>
        <v>Heavy User</v>
      </c>
    </row>
    <row r="267" spans="1:14" x14ac:dyDescent="0.25">
      <c r="A267">
        <v>266</v>
      </c>
      <c r="B267" t="s">
        <v>16</v>
      </c>
      <c r="C267" t="s">
        <v>12</v>
      </c>
      <c r="D267">
        <v>563</v>
      </c>
      <c r="E267">
        <v>8.4</v>
      </c>
      <c r="F267">
        <v>2849</v>
      </c>
      <c r="G267">
        <v>85</v>
      </c>
      <c r="H267">
        <v>1508</v>
      </c>
      <c r="I267">
        <v>25</v>
      </c>
      <c r="J267" t="str">
        <f>IF(Table2[[#This Row],[Age]]&lt;=24, "18 - 24", IF(Table2[[#This Row],[Age]]&lt;=34, "25 - 34", IF(Table2[[#This Row],[Age]]&lt;=44, "35 - 44", IF(Table2[[#This Row],[Age]]&lt;=54, "45 - 54", "55 - 59"))))</f>
        <v>25 - 34</v>
      </c>
      <c r="K267" t="str">
        <f>IF(Table2[[#This Row],[Age]]&lt;=24, "Young Adults", IF(Table2[[#This Row],[Age]]&lt;=34, "Early Career", IF(Table2[[#This Row],[Age]]&lt;=44, "Mid Career", IF(Table2[[#This Row],[Age]]&lt;=54, "Mature Adults", "Pre-retirment"))))</f>
        <v>Early Career</v>
      </c>
      <c r="L267" t="s">
        <v>13</v>
      </c>
      <c r="M267">
        <v>5</v>
      </c>
      <c r="N267" t="str">
        <f t="shared" si="4"/>
        <v>Heavy User</v>
      </c>
    </row>
    <row r="268" spans="1:14" x14ac:dyDescent="0.25">
      <c r="A268">
        <v>267</v>
      </c>
      <c r="B268" t="s">
        <v>17</v>
      </c>
      <c r="C268" t="s">
        <v>18</v>
      </c>
      <c r="D268">
        <v>181</v>
      </c>
      <c r="E268">
        <v>4.0999999999999996</v>
      </c>
      <c r="F268">
        <v>1608</v>
      </c>
      <c r="G268">
        <v>43</v>
      </c>
      <c r="H268">
        <v>752</v>
      </c>
      <c r="I268">
        <v>22</v>
      </c>
      <c r="J268" t="str">
        <f>IF(Table2[[#This Row],[Age]]&lt;=24, "18 - 24", IF(Table2[[#This Row],[Age]]&lt;=34, "25 - 34", IF(Table2[[#This Row],[Age]]&lt;=44, "35 - 44", IF(Table2[[#This Row],[Age]]&lt;=54, "45 - 54", "55 - 59"))))</f>
        <v>18 - 24</v>
      </c>
      <c r="K268" t="str">
        <f>IF(Table2[[#This Row],[Age]]&lt;=24, "Young Adults", IF(Table2[[#This Row],[Age]]&lt;=34, "Early Career", IF(Table2[[#This Row],[Age]]&lt;=44, "Mid Career", IF(Table2[[#This Row],[Age]]&lt;=54, "Mature Adults", "Pre-retirment"))))</f>
        <v>Young Adults</v>
      </c>
      <c r="L268" t="s">
        <v>15</v>
      </c>
      <c r="M268">
        <v>3</v>
      </c>
      <c r="N268" t="str">
        <f t="shared" si="4"/>
        <v>Moderate User</v>
      </c>
    </row>
    <row r="269" spans="1:14" x14ac:dyDescent="0.25">
      <c r="A269">
        <v>268</v>
      </c>
      <c r="B269" t="s">
        <v>14</v>
      </c>
      <c r="C269" t="s">
        <v>12</v>
      </c>
      <c r="D269">
        <v>584</v>
      </c>
      <c r="E269">
        <v>9.4</v>
      </c>
      <c r="F269">
        <v>2766</v>
      </c>
      <c r="G269">
        <v>84</v>
      </c>
      <c r="H269">
        <v>2151</v>
      </c>
      <c r="I269">
        <v>32</v>
      </c>
      <c r="J269" t="str">
        <f>IF(Table2[[#This Row],[Age]]&lt;=24, "18 - 24", IF(Table2[[#This Row],[Age]]&lt;=34, "25 - 34", IF(Table2[[#This Row],[Age]]&lt;=44, "35 - 44", IF(Table2[[#This Row],[Age]]&lt;=54, "45 - 54", "55 - 59"))))</f>
        <v>25 - 34</v>
      </c>
      <c r="K269" t="str">
        <f>IF(Table2[[#This Row],[Age]]&lt;=24, "Young Adults", IF(Table2[[#This Row],[Age]]&lt;=34, "Early Career", IF(Table2[[#This Row],[Age]]&lt;=44, "Mid Career", IF(Table2[[#This Row],[Age]]&lt;=54, "Mature Adults", "Pre-retirment"))))</f>
        <v>Early Career</v>
      </c>
      <c r="L269" t="s">
        <v>13</v>
      </c>
      <c r="M269">
        <v>5</v>
      </c>
      <c r="N269" t="str">
        <f t="shared" si="4"/>
        <v>Heavy User</v>
      </c>
    </row>
    <row r="270" spans="1:14" x14ac:dyDescent="0.25">
      <c r="A270">
        <v>269</v>
      </c>
      <c r="B270" t="s">
        <v>19</v>
      </c>
      <c r="C270" t="s">
        <v>12</v>
      </c>
      <c r="D270">
        <v>208</v>
      </c>
      <c r="E270">
        <v>4.7</v>
      </c>
      <c r="F270">
        <v>1642</v>
      </c>
      <c r="G270">
        <v>45</v>
      </c>
      <c r="H270">
        <v>861</v>
      </c>
      <c r="I270">
        <v>55</v>
      </c>
      <c r="J270" t="str">
        <f>IF(Table2[[#This Row],[Age]]&lt;=24, "18 - 24", IF(Table2[[#This Row],[Age]]&lt;=34, "25 - 34", IF(Table2[[#This Row],[Age]]&lt;=44, "35 - 44", IF(Table2[[#This Row],[Age]]&lt;=54, "45 - 54", "55 - 59"))))</f>
        <v>55 - 59</v>
      </c>
      <c r="K270" t="str">
        <f>IF(Table2[[#This Row],[Age]]&lt;=24, "Young Adults", IF(Table2[[#This Row],[Age]]&lt;=34, "Early Career", IF(Table2[[#This Row],[Age]]&lt;=44, "Mid Career", IF(Table2[[#This Row],[Age]]&lt;=54, "Mature Adults", "Pre-retirment"))))</f>
        <v>Pre-retirment</v>
      </c>
      <c r="L270" t="s">
        <v>13</v>
      </c>
      <c r="M270">
        <v>3</v>
      </c>
      <c r="N270" t="str">
        <f t="shared" si="4"/>
        <v>Moderate User</v>
      </c>
    </row>
    <row r="271" spans="1:14" x14ac:dyDescent="0.25">
      <c r="A271">
        <v>270</v>
      </c>
      <c r="B271" t="s">
        <v>19</v>
      </c>
      <c r="C271" t="s">
        <v>12</v>
      </c>
      <c r="D271">
        <v>381</v>
      </c>
      <c r="E271">
        <v>6.6</v>
      </c>
      <c r="F271">
        <v>2160</v>
      </c>
      <c r="G271">
        <v>69</v>
      </c>
      <c r="H271">
        <v>1450</v>
      </c>
      <c r="I271">
        <v>20</v>
      </c>
      <c r="J271" t="str">
        <f>IF(Table2[[#This Row],[Age]]&lt;=24, "18 - 24", IF(Table2[[#This Row],[Age]]&lt;=34, "25 - 34", IF(Table2[[#This Row],[Age]]&lt;=44, "35 - 44", IF(Table2[[#This Row],[Age]]&lt;=54, "45 - 54", "55 - 59"))))</f>
        <v>18 - 24</v>
      </c>
      <c r="K271" t="str">
        <f>IF(Table2[[#This Row],[Age]]&lt;=24, "Young Adults", IF(Table2[[#This Row],[Age]]&lt;=34, "Early Career", IF(Table2[[#This Row],[Age]]&lt;=44, "Mid Career", IF(Table2[[#This Row],[Age]]&lt;=54, "Mature Adults", "Pre-retirment"))))</f>
        <v>Young Adults</v>
      </c>
      <c r="L271" t="s">
        <v>13</v>
      </c>
      <c r="M271">
        <v>4</v>
      </c>
      <c r="N271" t="str">
        <f t="shared" si="4"/>
        <v>Heavy User</v>
      </c>
    </row>
    <row r="272" spans="1:14" x14ac:dyDescent="0.25">
      <c r="A272">
        <v>271</v>
      </c>
      <c r="B272" t="s">
        <v>16</v>
      </c>
      <c r="C272" t="s">
        <v>12</v>
      </c>
      <c r="D272">
        <v>426</v>
      </c>
      <c r="E272">
        <v>6.5</v>
      </c>
      <c r="F272">
        <v>1969</v>
      </c>
      <c r="G272">
        <v>78</v>
      </c>
      <c r="H272">
        <v>1266</v>
      </c>
      <c r="I272">
        <v>53</v>
      </c>
      <c r="J272" t="str">
        <f>IF(Table2[[#This Row],[Age]]&lt;=24, "18 - 24", IF(Table2[[#This Row],[Age]]&lt;=34, "25 - 34", IF(Table2[[#This Row],[Age]]&lt;=44, "35 - 44", IF(Table2[[#This Row],[Age]]&lt;=54, "45 - 54", "55 - 59"))))</f>
        <v>45 - 54</v>
      </c>
      <c r="K272" t="str">
        <f>IF(Table2[[#This Row],[Age]]&lt;=24, "Young Adults", IF(Table2[[#This Row],[Age]]&lt;=34, "Early Career", IF(Table2[[#This Row],[Age]]&lt;=44, "Mid Career", IF(Table2[[#This Row],[Age]]&lt;=54, "Mature Adults", "Pre-retirment"))))</f>
        <v>Mature Adults</v>
      </c>
      <c r="L272" t="s">
        <v>15</v>
      </c>
      <c r="M272">
        <v>4</v>
      </c>
      <c r="N272" t="str">
        <f t="shared" si="4"/>
        <v>Heavy User</v>
      </c>
    </row>
    <row r="273" spans="1:14" x14ac:dyDescent="0.25">
      <c r="A273">
        <v>272</v>
      </c>
      <c r="B273" t="s">
        <v>14</v>
      </c>
      <c r="C273" t="s">
        <v>12</v>
      </c>
      <c r="D273">
        <v>284</v>
      </c>
      <c r="E273">
        <v>4.2</v>
      </c>
      <c r="F273">
        <v>1360</v>
      </c>
      <c r="G273">
        <v>56</v>
      </c>
      <c r="H273">
        <v>888</v>
      </c>
      <c r="I273">
        <v>51</v>
      </c>
      <c r="J273" t="str">
        <f>IF(Table2[[#This Row],[Age]]&lt;=24, "18 - 24", IF(Table2[[#This Row],[Age]]&lt;=34, "25 - 34", IF(Table2[[#This Row],[Age]]&lt;=44, "35 - 44", IF(Table2[[#This Row],[Age]]&lt;=54, "45 - 54", "55 - 59"))))</f>
        <v>45 - 54</v>
      </c>
      <c r="K273" t="str">
        <f>IF(Table2[[#This Row],[Age]]&lt;=24, "Young Adults", IF(Table2[[#This Row],[Age]]&lt;=34, "Early Career", IF(Table2[[#This Row],[Age]]&lt;=44, "Mid Career", IF(Table2[[#This Row],[Age]]&lt;=54, "Mature Adults", "Pre-retirment"))))</f>
        <v>Mature Adults</v>
      </c>
      <c r="L273" t="s">
        <v>13</v>
      </c>
      <c r="M273">
        <v>3</v>
      </c>
      <c r="N273" t="str">
        <f t="shared" si="4"/>
        <v>Moderate User</v>
      </c>
    </row>
    <row r="274" spans="1:14" x14ac:dyDescent="0.25">
      <c r="A274">
        <v>273</v>
      </c>
      <c r="B274" t="s">
        <v>11</v>
      </c>
      <c r="C274" t="s">
        <v>12</v>
      </c>
      <c r="D274">
        <v>105</v>
      </c>
      <c r="E274">
        <v>2.2000000000000002</v>
      </c>
      <c r="F274">
        <v>1002</v>
      </c>
      <c r="G274">
        <v>29</v>
      </c>
      <c r="H274">
        <v>453</v>
      </c>
      <c r="I274">
        <v>31</v>
      </c>
      <c r="J274" t="str">
        <f>IF(Table2[[#This Row],[Age]]&lt;=24, "18 - 24", IF(Table2[[#This Row],[Age]]&lt;=34, "25 - 34", IF(Table2[[#This Row],[Age]]&lt;=44, "35 - 44", IF(Table2[[#This Row],[Age]]&lt;=54, "45 - 54", "55 - 59"))))</f>
        <v>25 - 34</v>
      </c>
      <c r="K274" t="str">
        <f>IF(Table2[[#This Row],[Age]]&lt;=24, "Young Adults", IF(Table2[[#This Row],[Age]]&lt;=34, "Early Career", IF(Table2[[#This Row],[Age]]&lt;=44, "Mid Career", IF(Table2[[#This Row],[Age]]&lt;=54, "Mature Adults", "Pre-retirment"))))</f>
        <v>Early Career</v>
      </c>
      <c r="L274" t="s">
        <v>15</v>
      </c>
      <c r="M274">
        <v>2</v>
      </c>
      <c r="N274" t="str">
        <f t="shared" si="4"/>
        <v>Light User</v>
      </c>
    </row>
    <row r="275" spans="1:14" x14ac:dyDescent="0.25">
      <c r="A275">
        <v>274</v>
      </c>
      <c r="B275" t="s">
        <v>11</v>
      </c>
      <c r="C275" t="s">
        <v>12</v>
      </c>
      <c r="D275">
        <v>179</v>
      </c>
      <c r="E275">
        <v>2.2999999999999998</v>
      </c>
      <c r="F275">
        <v>1014</v>
      </c>
      <c r="G275">
        <v>32</v>
      </c>
      <c r="H275">
        <v>588</v>
      </c>
      <c r="I275">
        <v>38</v>
      </c>
      <c r="J275" t="str">
        <f>IF(Table2[[#This Row],[Age]]&lt;=24, "18 - 24", IF(Table2[[#This Row],[Age]]&lt;=34, "25 - 34", IF(Table2[[#This Row],[Age]]&lt;=44, "35 - 44", IF(Table2[[#This Row],[Age]]&lt;=54, "45 - 54", "55 - 59"))))</f>
        <v>35 - 44</v>
      </c>
      <c r="K275" t="str">
        <f>IF(Table2[[#This Row],[Age]]&lt;=24, "Young Adults", IF(Table2[[#This Row],[Age]]&lt;=34, "Early Career", IF(Table2[[#This Row],[Age]]&lt;=44, "Mid Career", IF(Table2[[#This Row],[Age]]&lt;=54, "Mature Adults", "Pre-retirment"))))</f>
        <v>Mid Career</v>
      </c>
      <c r="L275" t="s">
        <v>13</v>
      </c>
      <c r="M275">
        <v>2</v>
      </c>
      <c r="N275" t="str">
        <f t="shared" si="4"/>
        <v>Light User</v>
      </c>
    </row>
    <row r="276" spans="1:14" x14ac:dyDescent="0.25">
      <c r="A276">
        <v>275</v>
      </c>
      <c r="B276" t="s">
        <v>17</v>
      </c>
      <c r="C276" t="s">
        <v>18</v>
      </c>
      <c r="D276">
        <v>122</v>
      </c>
      <c r="E276">
        <v>2.6</v>
      </c>
      <c r="F276">
        <v>639</v>
      </c>
      <c r="G276">
        <v>37</v>
      </c>
      <c r="H276">
        <v>568</v>
      </c>
      <c r="I276">
        <v>35</v>
      </c>
      <c r="J276" t="str">
        <f>IF(Table2[[#This Row],[Age]]&lt;=24, "18 - 24", IF(Table2[[#This Row],[Age]]&lt;=34, "25 - 34", IF(Table2[[#This Row],[Age]]&lt;=44, "35 - 44", IF(Table2[[#This Row],[Age]]&lt;=54, "45 - 54", "55 - 59"))))</f>
        <v>35 - 44</v>
      </c>
      <c r="K276" t="str">
        <f>IF(Table2[[#This Row],[Age]]&lt;=24, "Young Adults", IF(Table2[[#This Row],[Age]]&lt;=34, "Early Career", IF(Table2[[#This Row],[Age]]&lt;=44, "Mid Career", IF(Table2[[#This Row],[Age]]&lt;=54, "Mature Adults", "Pre-retirment"))))</f>
        <v>Mid Career</v>
      </c>
      <c r="L276" t="s">
        <v>13</v>
      </c>
      <c r="M276">
        <v>2</v>
      </c>
      <c r="N276" t="str">
        <f t="shared" si="4"/>
        <v>Light User</v>
      </c>
    </row>
    <row r="277" spans="1:14" x14ac:dyDescent="0.25">
      <c r="A277">
        <v>276</v>
      </c>
      <c r="B277" t="s">
        <v>14</v>
      </c>
      <c r="C277" t="s">
        <v>12</v>
      </c>
      <c r="D277">
        <v>501</v>
      </c>
      <c r="E277">
        <v>11.9</v>
      </c>
      <c r="F277">
        <v>2702</v>
      </c>
      <c r="G277">
        <v>88</v>
      </c>
      <c r="H277">
        <v>1738</v>
      </c>
      <c r="I277">
        <v>49</v>
      </c>
      <c r="J277" t="str">
        <f>IF(Table2[[#This Row],[Age]]&lt;=24, "18 - 24", IF(Table2[[#This Row],[Age]]&lt;=34, "25 - 34", IF(Table2[[#This Row],[Age]]&lt;=44, "35 - 44", IF(Table2[[#This Row],[Age]]&lt;=54, "45 - 54", "55 - 59"))))</f>
        <v>45 - 54</v>
      </c>
      <c r="K277" t="str">
        <f>IF(Table2[[#This Row],[Age]]&lt;=24, "Young Adults", IF(Table2[[#This Row],[Age]]&lt;=34, "Early Career", IF(Table2[[#This Row],[Age]]&lt;=44, "Mid Career", IF(Table2[[#This Row],[Age]]&lt;=54, "Mature Adults", "Pre-retirment"))))</f>
        <v>Mature Adults</v>
      </c>
      <c r="L277" t="s">
        <v>13</v>
      </c>
      <c r="M277">
        <v>5</v>
      </c>
      <c r="N277" t="str">
        <f t="shared" si="4"/>
        <v>Heavy User</v>
      </c>
    </row>
    <row r="278" spans="1:14" x14ac:dyDescent="0.25">
      <c r="A278">
        <v>277</v>
      </c>
      <c r="B278" t="s">
        <v>16</v>
      </c>
      <c r="C278" t="s">
        <v>12</v>
      </c>
      <c r="D278">
        <v>269</v>
      </c>
      <c r="E278">
        <v>5.9</v>
      </c>
      <c r="F278">
        <v>1666</v>
      </c>
      <c r="G278">
        <v>42</v>
      </c>
      <c r="H278">
        <v>629</v>
      </c>
      <c r="I278">
        <v>32</v>
      </c>
      <c r="J278" t="str">
        <f>IF(Table2[[#This Row],[Age]]&lt;=24, "18 - 24", IF(Table2[[#This Row],[Age]]&lt;=34, "25 - 34", IF(Table2[[#This Row],[Age]]&lt;=44, "35 - 44", IF(Table2[[#This Row],[Age]]&lt;=54, "45 - 54", "55 - 59"))))</f>
        <v>25 - 34</v>
      </c>
      <c r="K278" t="str">
        <f>IF(Table2[[#This Row],[Age]]&lt;=24, "Young Adults", IF(Table2[[#This Row],[Age]]&lt;=34, "Early Career", IF(Table2[[#This Row],[Age]]&lt;=44, "Mid Career", IF(Table2[[#This Row],[Age]]&lt;=54, "Mature Adults", "Pre-retirment"))))</f>
        <v>Early Career</v>
      </c>
      <c r="L278" t="s">
        <v>15</v>
      </c>
      <c r="M278">
        <v>3</v>
      </c>
      <c r="N278" t="str">
        <f t="shared" si="4"/>
        <v>Moderate User</v>
      </c>
    </row>
    <row r="279" spans="1:14" x14ac:dyDescent="0.25">
      <c r="A279">
        <v>278</v>
      </c>
      <c r="B279" t="s">
        <v>11</v>
      </c>
      <c r="C279" t="s">
        <v>12</v>
      </c>
      <c r="D279">
        <v>230</v>
      </c>
      <c r="E279">
        <v>4.4000000000000004</v>
      </c>
      <c r="F279">
        <v>1607</v>
      </c>
      <c r="G279">
        <v>52</v>
      </c>
      <c r="H279">
        <v>878</v>
      </c>
      <c r="I279">
        <v>54</v>
      </c>
      <c r="J279" t="str">
        <f>IF(Table2[[#This Row],[Age]]&lt;=24, "18 - 24", IF(Table2[[#This Row],[Age]]&lt;=34, "25 - 34", IF(Table2[[#This Row],[Age]]&lt;=44, "35 - 44", IF(Table2[[#This Row],[Age]]&lt;=54, "45 - 54", "55 - 59"))))</f>
        <v>45 - 54</v>
      </c>
      <c r="K279" t="str">
        <f>IF(Table2[[#This Row],[Age]]&lt;=24, "Young Adults", IF(Table2[[#This Row],[Age]]&lt;=34, "Early Career", IF(Table2[[#This Row],[Age]]&lt;=44, "Mid Career", IF(Table2[[#This Row],[Age]]&lt;=54, "Mature Adults", "Pre-retirment"))))</f>
        <v>Mature Adults</v>
      </c>
      <c r="L279" t="s">
        <v>13</v>
      </c>
      <c r="M279">
        <v>3</v>
      </c>
      <c r="N279" t="str">
        <f t="shared" si="4"/>
        <v>Moderate User</v>
      </c>
    </row>
    <row r="280" spans="1:14" x14ac:dyDescent="0.25">
      <c r="A280">
        <v>279</v>
      </c>
      <c r="B280" t="s">
        <v>16</v>
      </c>
      <c r="C280" t="s">
        <v>12</v>
      </c>
      <c r="D280">
        <v>85</v>
      </c>
      <c r="E280">
        <v>1.6</v>
      </c>
      <c r="F280">
        <v>417</v>
      </c>
      <c r="G280">
        <v>12</v>
      </c>
      <c r="H280">
        <v>122</v>
      </c>
      <c r="I280">
        <v>47</v>
      </c>
      <c r="J280" t="str">
        <f>IF(Table2[[#This Row],[Age]]&lt;=24, "18 - 24", IF(Table2[[#This Row],[Age]]&lt;=34, "25 - 34", IF(Table2[[#This Row],[Age]]&lt;=44, "35 - 44", IF(Table2[[#This Row],[Age]]&lt;=54, "45 - 54", "55 - 59"))))</f>
        <v>45 - 54</v>
      </c>
      <c r="K280" t="str">
        <f>IF(Table2[[#This Row],[Age]]&lt;=24, "Young Adults", IF(Table2[[#This Row],[Age]]&lt;=34, "Early Career", IF(Table2[[#This Row],[Age]]&lt;=44, "Mid Career", IF(Table2[[#This Row],[Age]]&lt;=54, "Mature Adults", "Pre-retirment"))))</f>
        <v>Mature Adults</v>
      </c>
      <c r="L280" t="s">
        <v>13</v>
      </c>
      <c r="M280">
        <v>1</v>
      </c>
      <c r="N280" t="str">
        <f t="shared" si="4"/>
        <v>Light User</v>
      </c>
    </row>
    <row r="281" spans="1:14" x14ac:dyDescent="0.25">
      <c r="A281">
        <v>280</v>
      </c>
      <c r="B281" t="s">
        <v>19</v>
      </c>
      <c r="C281" t="s">
        <v>12</v>
      </c>
      <c r="D281">
        <v>411</v>
      </c>
      <c r="E281">
        <v>7.8</v>
      </c>
      <c r="F281">
        <v>2029</v>
      </c>
      <c r="G281">
        <v>75</v>
      </c>
      <c r="H281">
        <v>1136</v>
      </c>
      <c r="I281">
        <v>33</v>
      </c>
      <c r="J281" t="str">
        <f>IF(Table2[[#This Row],[Age]]&lt;=24, "18 - 24", IF(Table2[[#This Row],[Age]]&lt;=34, "25 - 34", IF(Table2[[#This Row],[Age]]&lt;=44, "35 - 44", IF(Table2[[#This Row],[Age]]&lt;=54, "45 - 54", "55 - 59"))))</f>
        <v>25 - 34</v>
      </c>
      <c r="K281" t="str">
        <f>IF(Table2[[#This Row],[Age]]&lt;=24, "Young Adults", IF(Table2[[#This Row],[Age]]&lt;=34, "Early Career", IF(Table2[[#This Row],[Age]]&lt;=44, "Mid Career", IF(Table2[[#This Row],[Age]]&lt;=54, "Mature Adults", "Pre-retirment"))))</f>
        <v>Early Career</v>
      </c>
      <c r="L281" t="s">
        <v>15</v>
      </c>
      <c r="M281">
        <v>4</v>
      </c>
      <c r="N281" t="str">
        <f t="shared" si="4"/>
        <v>Heavy User</v>
      </c>
    </row>
    <row r="282" spans="1:14" x14ac:dyDescent="0.25">
      <c r="A282">
        <v>281</v>
      </c>
      <c r="B282" t="s">
        <v>19</v>
      </c>
      <c r="C282" t="s">
        <v>12</v>
      </c>
      <c r="D282">
        <v>73</v>
      </c>
      <c r="E282">
        <v>1.7</v>
      </c>
      <c r="F282">
        <v>403</v>
      </c>
      <c r="G282">
        <v>12</v>
      </c>
      <c r="H282">
        <v>163</v>
      </c>
      <c r="I282">
        <v>51</v>
      </c>
      <c r="J282" t="str">
        <f>IF(Table2[[#This Row],[Age]]&lt;=24, "18 - 24", IF(Table2[[#This Row],[Age]]&lt;=34, "25 - 34", IF(Table2[[#This Row],[Age]]&lt;=44, "35 - 44", IF(Table2[[#This Row],[Age]]&lt;=54, "45 - 54", "55 - 59"))))</f>
        <v>45 - 54</v>
      </c>
      <c r="K282" t="str">
        <f>IF(Table2[[#This Row],[Age]]&lt;=24, "Young Adults", IF(Table2[[#This Row],[Age]]&lt;=34, "Early Career", IF(Table2[[#This Row],[Age]]&lt;=44, "Mid Career", IF(Table2[[#This Row],[Age]]&lt;=54, "Mature Adults", "Pre-retirment"))))</f>
        <v>Mature Adults</v>
      </c>
      <c r="L282" t="s">
        <v>13</v>
      </c>
      <c r="M282">
        <v>1</v>
      </c>
      <c r="N282" t="str">
        <f t="shared" si="4"/>
        <v>Light User</v>
      </c>
    </row>
    <row r="283" spans="1:14" x14ac:dyDescent="0.25">
      <c r="A283">
        <v>282</v>
      </c>
      <c r="B283" t="s">
        <v>16</v>
      </c>
      <c r="C283" t="s">
        <v>12</v>
      </c>
      <c r="D283">
        <v>39</v>
      </c>
      <c r="E283">
        <v>1.7</v>
      </c>
      <c r="F283">
        <v>530</v>
      </c>
      <c r="G283">
        <v>11</v>
      </c>
      <c r="H283">
        <v>268</v>
      </c>
      <c r="I283">
        <v>26</v>
      </c>
      <c r="J283" t="str">
        <f>IF(Table2[[#This Row],[Age]]&lt;=24, "18 - 24", IF(Table2[[#This Row],[Age]]&lt;=34, "25 - 34", IF(Table2[[#This Row],[Age]]&lt;=44, "35 - 44", IF(Table2[[#This Row],[Age]]&lt;=54, "45 - 54", "55 - 59"))))</f>
        <v>25 - 34</v>
      </c>
      <c r="K283" t="str">
        <f>IF(Table2[[#This Row],[Age]]&lt;=24, "Young Adults", IF(Table2[[#This Row],[Age]]&lt;=34, "Early Career", IF(Table2[[#This Row],[Age]]&lt;=44, "Mid Career", IF(Table2[[#This Row],[Age]]&lt;=54, "Mature Adults", "Pre-retirment"))))</f>
        <v>Early Career</v>
      </c>
      <c r="L283" t="s">
        <v>15</v>
      </c>
      <c r="M283">
        <v>1</v>
      </c>
      <c r="N283" t="str">
        <f t="shared" si="4"/>
        <v>Light User</v>
      </c>
    </row>
    <row r="284" spans="1:14" x14ac:dyDescent="0.25">
      <c r="A284">
        <v>283</v>
      </c>
      <c r="B284" t="s">
        <v>17</v>
      </c>
      <c r="C284" t="s">
        <v>18</v>
      </c>
      <c r="D284">
        <v>386</v>
      </c>
      <c r="E284">
        <v>7.7</v>
      </c>
      <c r="F284">
        <v>2114</v>
      </c>
      <c r="G284">
        <v>72</v>
      </c>
      <c r="H284">
        <v>1209</v>
      </c>
      <c r="I284">
        <v>51</v>
      </c>
      <c r="J284" t="str">
        <f>IF(Table2[[#This Row],[Age]]&lt;=24, "18 - 24", IF(Table2[[#This Row],[Age]]&lt;=34, "25 - 34", IF(Table2[[#This Row],[Age]]&lt;=44, "35 - 44", IF(Table2[[#This Row],[Age]]&lt;=54, "45 - 54", "55 - 59"))))</f>
        <v>45 - 54</v>
      </c>
      <c r="K284" t="str">
        <f>IF(Table2[[#This Row],[Age]]&lt;=24, "Young Adults", IF(Table2[[#This Row],[Age]]&lt;=34, "Early Career", IF(Table2[[#This Row],[Age]]&lt;=44, "Mid Career", IF(Table2[[#This Row],[Age]]&lt;=54, "Mature Adults", "Pre-retirment"))))</f>
        <v>Mature Adults</v>
      </c>
      <c r="L284" t="s">
        <v>13</v>
      </c>
      <c r="M284">
        <v>4</v>
      </c>
      <c r="N284" t="str">
        <f t="shared" si="4"/>
        <v>Heavy User</v>
      </c>
    </row>
    <row r="285" spans="1:14" x14ac:dyDescent="0.25">
      <c r="A285">
        <v>284</v>
      </c>
      <c r="B285" t="s">
        <v>11</v>
      </c>
      <c r="C285" t="s">
        <v>12</v>
      </c>
      <c r="D285">
        <v>49</v>
      </c>
      <c r="E285">
        <v>1.3</v>
      </c>
      <c r="F285">
        <v>542</v>
      </c>
      <c r="G285">
        <v>16</v>
      </c>
      <c r="H285">
        <v>169</v>
      </c>
      <c r="I285">
        <v>54</v>
      </c>
      <c r="J285" t="str">
        <f>IF(Table2[[#This Row],[Age]]&lt;=24, "18 - 24", IF(Table2[[#This Row],[Age]]&lt;=34, "25 - 34", IF(Table2[[#This Row],[Age]]&lt;=44, "35 - 44", IF(Table2[[#This Row],[Age]]&lt;=54, "45 - 54", "55 - 59"))))</f>
        <v>45 - 54</v>
      </c>
      <c r="K285" t="str">
        <f>IF(Table2[[#This Row],[Age]]&lt;=24, "Young Adults", IF(Table2[[#This Row],[Age]]&lt;=34, "Early Career", IF(Table2[[#This Row],[Age]]&lt;=44, "Mid Career", IF(Table2[[#This Row],[Age]]&lt;=54, "Mature Adults", "Pre-retirment"))))</f>
        <v>Mature Adults</v>
      </c>
      <c r="L285" t="s">
        <v>15</v>
      </c>
      <c r="M285">
        <v>1</v>
      </c>
      <c r="N285" t="str">
        <f t="shared" si="4"/>
        <v>Light User</v>
      </c>
    </row>
    <row r="286" spans="1:14" x14ac:dyDescent="0.25">
      <c r="A286">
        <v>285</v>
      </c>
      <c r="B286" t="s">
        <v>11</v>
      </c>
      <c r="C286" t="s">
        <v>12</v>
      </c>
      <c r="D286">
        <v>411</v>
      </c>
      <c r="E286">
        <v>6.9</v>
      </c>
      <c r="F286">
        <v>1820</v>
      </c>
      <c r="G286">
        <v>70</v>
      </c>
      <c r="H286">
        <v>1024</v>
      </c>
      <c r="I286">
        <v>43</v>
      </c>
      <c r="J286" t="str">
        <f>IF(Table2[[#This Row],[Age]]&lt;=24, "18 - 24", IF(Table2[[#This Row],[Age]]&lt;=34, "25 - 34", IF(Table2[[#This Row],[Age]]&lt;=44, "35 - 44", IF(Table2[[#This Row],[Age]]&lt;=54, "45 - 54", "55 - 59"))))</f>
        <v>35 - 44</v>
      </c>
      <c r="K286" t="str">
        <f>IF(Table2[[#This Row],[Age]]&lt;=24, "Young Adults", IF(Table2[[#This Row],[Age]]&lt;=34, "Early Career", IF(Table2[[#This Row],[Age]]&lt;=44, "Mid Career", IF(Table2[[#This Row],[Age]]&lt;=54, "Mature Adults", "Pre-retirment"))))</f>
        <v>Mid Career</v>
      </c>
      <c r="L286" t="s">
        <v>13</v>
      </c>
      <c r="M286">
        <v>4</v>
      </c>
      <c r="N286" t="str">
        <f t="shared" si="4"/>
        <v>Heavy User</v>
      </c>
    </row>
    <row r="287" spans="1:14" x14ac:dyDescent="0.25">
      <c r="A287">
        <v>286</v>
      </c>
      <c r="B287" t="s">
        <v>14</v>
      </c>
      <c r="C287" t="s">
        <v>12</v>
      </c>
      <c r="D287">
        <v>534</v>
      </c>
      <c r="E287">
        <v>10.8</v>
      </c>
      <c r="F287">
        <v>2805</v>
      </c>
      <c r="G287">
        <v>90</v>
      </c>
      <c r="H287">
        <v>1538</v>
      </c>
      <c r="I287">
        <v>37</v>
      </c>
      <c r="J287" t="str">
        <f>IF(Table2[[#This Row],[Age]]&lt;=24, "18 - 24", IF(Table2[[#This Row],[Age]]&lt;=34, "25 - 34", IF(Table2[[#This Row],[Age]]&lt;=44, "35 - 44", IF(Table2[[#This Row],[Age]]&lt;=54, "45 - 54", "55 - 59"))))</f>
        <v>35 - 44</v>
      </c>
      <c r="K287" t="str">
        <f>IF(Table2[[#This Row],[Age]]&lt;=24, "Young Adults", IF(Table2[[#This Row],[Age]]&lt;=34, "Early Career", IF(Table2[[#This Row],[Age]]&lt;=44, "Mid Career", IF(Table2[[#This Row],[Age]]&lt;=54, "Mature Adults", "Pre-retirment"))))</f>
        <v>Mid Career</v>
      </c>
      <c r="L287" t="s">
        <v>13</v>
      </c>
      <c r="M287">
        <v>5</v>
      </c>
      <c r="N287" t="str">
        <f t="shared" si="4"/>
        <v>Heavy User</v>
      </c>
    </row>
    <row r="288" spans="1:14" x14ac:dyDescent="0.25">
      <c r="A288">
        <v>287</v>
      </c>
      <c r="B288" t="s">
        <v>19</v>
      </c>
      <c r="C288" t="s">
        <v>12</v>
      </c>
      <c r="D288">
        <v>314</v>
      </c>
      <c r="E288">
        <v>7.4</v>
      </c>
      <c r="F288">
        <v>2136</v>
      </c>
      <c r="G288">
        <v>64</v>
      </c>
      <c r="H288">
        <v>1376</v>
      </c>
      <c r="I288">
        <v>47</v>
      </c>
      <c r="J288" t="str">
        <f>IF(Table2[[#This Row],[Age]]&lt;=24, "18 - 24", IF(Table2[[#This Row],[Age]]&lt;=34, "25 - 34", IF(Table2[[#This Row],[Age]]&lt;=44, "35 - 44", IF(Table2[[#This Row],[Age]]&lt;=54, "45 - 54", "55 - 59"))))</f>
        <v>45 - 54</v>
      </c>
      <c r="K288" t="str">
        <f>IF(Table2[[#This Row],[Age]]&lt;=24, "Young Adults", IF(Table2[[#This Row],[Age]]&lt;=34, "Early Career", IF(Table2[[#This Row],[Age]]&lt;=44, "Mid Career", IF(Table2[[#This Row],[Age]]&lt;=54, "Mature Adults", "Pre-retirment"))))</f>
        <v>Mature Adults</v>
      </c>
      <c r="L288" t="s">
        <v>15</v>
      </c>
      <c r="M288">
        <v>4</v>
      </c>
      <c r="N288" t="str">
        <f t="shared" si="4"/>
        <v>Heavy User</v>
      </c>
    </row>
    <row r="289" spans="1:14" x14ac:dyDescent="0.25">
      <c r="A289">
        <v>288</v>
      </c>
      <c r="B289" t="s">
        <v>16</v>
      </c>
      <c r="C289" t="s">
        <v>12</v>
      </c>
      <c r="D289">
        <v>211</v>
      </c>
      <c r="E289">
        <v>4</v>
      </c>
      <c r="F289">
        <v>1519</v>
      </c>
      <c r="G289">
        <v>54</v>
      </c>
      <c r="H289">
        <v>811</v>
      </c>
      <c r="I289">
        <v>29</v>
      </c>
      <c r="J289" t="str">
        <f>IF(Table2[[#This Row],[Age]]&lt;=24, "18 - 24", IF(Table2[[#This Row],[Age]]&lt;=34, "25 - 34", IF(Table2[[#This Row],[Age]]&lt;=44, "35 - 44", IF(Table2[[#This Row],[Age]]&lt;=54, "45 - 54", "55 - 59"))))</f>
        <v>25 - 34</v>
      </c>
      <c r="K289" t="str">
        <f>IF(Table2[[#This Row],[Age]]&lt;=24, "Young Adults", IF(Table2[[#This Row],[Age]]&lt;=34, "Early Career", IF(Table2[[#This Row],[Age]]&lt;=44, "Mid Career", IF(Table2[[#This Row],[Age]]&lt;=54, "Mature Adults", "Pre-retirment"))))</f>
        <v>Early Career</v>
      </c>
      <c r="L289" t="s">
        <v>15</v>
      </c>
      <c r="M289">
        <v>3</v>
      </c>
      <c r="N289" t="str">
        <f t="shared" si="4"/>
        <v>Moderate User</v>
      </c>
    </row>
    <row r="290" spans="1:14" x14ac:dyDescent="0.25">
      <c r="A290">
        <v>289</v>
      </c>
      <c r="B290" t="s">
        <v>14</v>
      </c>
      <c r="C290" t="s">
        <v>12</v>
      </c>
      <c r="D290">
        <v>121</v>
      </c>
      <c r="E290">
        <v>3.7</v>
      </c>
      <c r="F290">
        <v>619</v>
      </c>
      <c r="G290">
        <v>36</v>
      </c>
      <c r="H290">
        <v>473</v>
      </c>
      <c r="I290">
        <v>47</v>
      </c>
      <c r="J290" t="str">
        <f>IF(Table2[[#This Row],[Age]]&lt;=24, "18 - 24", IF(Table2[[#This Row],[Age]]&lt;=34, "25 - 34", IF(Table2[[#This Row],[Age]]&lt;=44, "35 - 44", IF(Table2[[#This Row],[Age]]&lt;=54, "45 - 54", "55 - 59"))))</f>
        <v>45 - 54</v>
      </c>
      <c r="K290" t="str">
        <f>IF(Table2[[#This Row],[Age]]&lt;=24, "Young Adults", IF(Table2[[#This Row],[Age]]&lt;=34, "Early Career", IF(Table2[[#This Row],[Age]]&lt;=44, "Mid Career", IF(Table2[[#This Row],[Age]]&lt;=54, "Mature Adults", "Pre-retirment"))))</f>
        <v>Mature Adults</v>
      </c>
      <c r="L290" t="s">
        <v>13</v>
      </c>
      <c r="M290">
        <v>2</v>
      </c>
      <c r="N290" t="str">
        <f t="shared" si="4"/>
        <v>Light User</v>
      </c>
    </row>
    <row r="291" spans="1:14" x14ac:dyDescent="0.25">
      <c r="A291">
        <v>290</v>
      </c>
      <c r="B291" t="s">
        <v>11</v>
      </c>
      <c r="C291" t="s">
        <v>12</v>
      </c>
      <c r="D291">
        <v>84</v>
      </c>
      <c r="E291">
        <v>1.2</v>
      </c>
      <c r="F291">
        <v>415</v>
      </c>
      <c r="G291">
        <v>10</v>
      </c>
      <c r="H291">
        <v>146</v>
      </c>
      <c r="I291">
        <v>50</v>
      </c>
      <c r="J291" t="str">
        <f>IF(Table2[[#This Row],[Age]]&lt;=24, "18 - 24", IF(Table2[[#This Row],[Age]]&lt;=34, "25 - 34", IF(Table2[[#This Row],[Age]]&lt;=44, "35 - 44", IF(Table2[[#This Row],[Age]]&lt;=54, "45 - 54", "55 - 59"))))</f>
        <v>45 - 54</v>
      </c>
      <c r="K291" t="str">
        <f>IF(Table2[[#This Row],[Age]]&lt;=24, "Young Adults", IF(Table2[[#This Row],[Age]]&lt;=34, "Early Career", IF(Table2[[#This Row],[Age]]&lt;=44, "Mid Career", IF(Table2[[#This Row],[Age]]&lt;=54, "Mature Adults", "Pre-retirment"))))</f>
        <v>Mature Adults</v>
      </c>
      <c r="L291" t="s">
        <v>13</v>
      </c>
      <c r="M291">
        <v>1</v>
      </c>
      <c r="N291" t="str">
        <f t="shared" si="4"/>
        <v>Light User</v>
      </c>
    </row>
    <row r="292" spans="1:14" x14ac:dyDescent="0.25">
      <c r="A292">
        <v>291</v>
      </c>
      <c r="B292" t="s">
        <v>14</v>
      </c>
      <c r="C292" t="s">
        <v>12</v>
      </c>
      <c r="D292">
        <v>448</v>
      </c>
      <c r="E292">
        <v>7.6</v>
      </c>
      <c r="F292">
        <v>2199</v>
      </c>
      <c r="G292">
        <v>66</v>
      </c>
      <c r="H292">
        <v>1047</v>
      </c>
      <c r="I292">
        <v>28</v>
      </c>
      <c r="J292" t="str">
        <f>IF(Table2[[#This Row],[Age]]&lt;=24, "18 - 24", IF(Table2[[#This Row],[Age]]&lt;=34, "25 - 34", IF(Table2[[#This Row],[Age]]&lt;=44, "35 - 44", IF(Table2[[#This Row],[Age]]&lt;=54, "45 - 54", "55 - 59"))))</f>
        <v>25 - 34</v>
      </c>
      <c r="K292" t="str">
        <f>IF(Table2[[#This Row],[Age]]&lt;=24, "Young Adults", IF(Table2[[#This Row],[Age]]&lt;=34, "Early Career", IF(Table2[[#This Row],[Age]]&lt;=44, "Mid Career", IF(Table2[[#This Row],[Age]]&lt;=54, "Mature Adults", "Pre-retirment"))))</f>
        <v>Early Career</v>
      </c>
      <c r="L292" t="s">
        <v>13</v>
      </c>
      <c r="M292">
        <v>4</v>
      </c>
      <c r="N292" t="str">
        <f t="shared" si="4"/>
        <v>Heavy User</v>
      </c>
    </row>
    <row r="293" spans="1:14" x14ac:dyDescent="0.25">
      <c r="A293">
        <v>292</v>
      </c>
      <c r="B293" t="s">
        <v>11</v>
      </c>
      <c r="C293" t="s">
        <v>12</v>
      </c>
      <c r="D293">
        <v>55</v>
      </c>
      <c r="E293">
        <v>1.6</v>
      </c>
      <c r="F293">
        <v>360</v>
      </c>
      <c r="G293">
        <v>19</v>
      </c>
      <c r="H293">
        <v>149</v>
      </c>
      <c r="I293">
        <v>30</v>
      </c>
      <c r="J293" t="str">
        <f>IF(Table2[[#This Row],[Age]]&lt;=24, "18 - 24", IF(Table2[[#This Row],[Age]]&lt;=34, "25 - 34", IF(Table2[[#This Row],[Age]]&lt;=44, "35 - 44", IF(Table2[[#This Row],[Age]]&lt;=54, "45 - 54", "55 - 59"))))</f>
        <v>25 - 34</v>
      </c>
      <c r="K293" t="str">
        <f>IF(Table2[[#This Row],[Age]]&lt;=24, "Young Adults", IF(Table2[[#This Row],[Age]]&lt;=34, "Early Career", IF(Table2[[#This Row],[Age]]&lt;=44, "Mid Career", IF(Table2[[#This Row],[Age]]&lt;=54, "Mature Adults", "Pre-retirment"))))</f>
        <v>Early Career</v>
      </c>
      <c r="L293" t="s">
        <v>13</v>
      </c>
      <c r="M293">
        <v>1</v>
      </c>
      <c r="N293" t="str">
        <f t="shared" si="4"/>
        <v>Light User</v>
      </c>
    </row>
    <row r="294" spans="1:14" x14ac:dyDescent="0.25">
      <c r="A294">
        <v>293</v>
      </c>
      <c r="B294" t="s">
        <v>11</v>
      </c>
      <c r="C294" t="s">
        <v>12</v>
      </c>
      <c r="D294">
        <v>59</v>
      </c>
      <c r="E294">
        <v>1.8</v>
      </c>
      <c r="F294">
        <v>497</v>
      </c>
      <c r="G294">
        <v>10</v>
      </c>
      <c r="H294">
        <v>208</v>
      </c>
      <c r="I294">
        <v>36</v>
      </c>
      <c r="J294" t="str">
        <f>IF(Table2[[#This Row],[Age]]&lt;=24, "18 - 24", IF(Table2[[#This Row],[Age]]&lt;=34, "25 - 34", IF(Table2[[#This Row],[Age]]&lt;=44, "35 - 44", IF(Table2[[#This Row],[Age]]&lt;=54, "45 - 54", "55 - 59"))))</f>
        <v>35 - 44</v>
      </c>
      <c r="K294" t="str">
        <f>IF(Table2[[#This Row],[Age]]&lt;=24, "Young Adults", IF(Table2[[#This Row],[Age]]&lt;=34, "Early Career", IF(Table2[[#This Row],[Age]]&lt;=44, "Mid Career", IF(Table2[[#This Row],[Age]]&lt;=54, "Mature Adults", "Pre-retirment"))))</f>
        <v>Mid Career</v>
      </c>
      <c r="L294" t="s">
        <v>15</v>
      </c>
      <c r="M294">
        <v>1</v>
      </c>
      <c r="N294" t="str">
        <f t="shared" si="4"/>
        <v>Light User</v>
      </c>
    </row>
    <row r="295" spans="1:14" x14ac:dyDescent="0.25">
      <c r="A295">
        <v>294</v>
      </c>
      <c r="B295" t="s">
        <v>16</v>
      </c>
      <c r="C295" t="s">
        <v>12</v>
      </c>
      <c r="D295">
        <v>226</v>
      </c>
      <c r="E295">
        <v>4.5</v>
      </c>
      <c r="F295">
        <v>1781</v>
      </c>
      <c r="G295">
        <v>45</v>
      </c>
      <c r="H295">
        <v>649</v>
      </c>
      <c r="I295">
        <v>27</v>
      </c>
      <c r="J295" t="str">
        <f>IF(Table2[[#This Row],[Age]]&lt;=24, "18 - 24", IF(Table2[[#This Row],[Age]]&lt;=34, "25 - 34", IF(Table2[[#This Row],[Age]]&lt;=44, "35 - 44", IF(Table2[[#This Row],[Age]]&lt;=54, "45 - 54", "55 - 59"))))</f>
        <v>25 - 34</v>
      </c>
      <c r="K295" t="str">
        <f>IF(Table2[[#This Row],[Age]]&lt;=24, "Young Adults", IF(Table2[[#This Row],[Age]]&lt;=34, "Early Career", IF(Table2[[#This Row],[Age]]&lt;=44, "Mid Career", IF(Table2[[#This Row],[Age]]&lt;=54, "Mature Adults", "Pre-retirment"))))</f>
        <v>Early Career</v>
      </c>
      <c r="L295" t="s">
        <v>15</v>
      </c>
      <c r="M295">
        <v>3</v>
      </c>
      <c r="N295" t="str">
        <f t="shared" si="4"/>
        <v>Moderate User</v>
      </c>
    </row>
    <row r="296" spans="1:14" x14ac:dyDescent="0.25">
      <c r="A296">
        <v>295</v>
      </c>
      <c r="B296" t="s">
        <v>19</v>
      </c>
      <c r="C296" t="s">
        <v>12</v>
      </c>
      <c r="D296">
        <v>580</v>
      </c>
      <c r="E296">
        <v>8.5</v>
      </c>
      <c r="F296">
        <v>2660</v>
      </c>
      <c r="G296">
        <v>87</v>
      </c>
      <c r="H296">
        <v>1795</v>
      </c>
      <c r="I296">
        <v>52</v>
      </c>
      <c r="J296" t="str">
        <f>IF(Table2[[#This Row],[Age]]&lt;=24, "18 - 24", IF(Table2[[#This Row],[Age]]&lt;=34, "25 - 34", IF(Table2[[#This Row],[Age]]&lt;=44, "35 - 44", IF(Table2[[#This Row],[Age]]&lt;=54, "45 - 54", "55 - 59"))))</f>
        <v>45 - 54</v>
      </c>
      <c r="K296" t="str">
        <f>IF(Table2[[#This Row],[Age]]&lt;=24, "Young Adults", IF(Table2[[#This Row],[Age]]&lt;=34, "Early Career", IF(Table2[[#This Row],[Age]]&lt;=44, "Mid Career", IF(Table2[[#This Row],[Age]]&lt;=54, "Mature Adults", "Pre-retirment"))))</f>
        <v>Mature Adults</v>
      </c>
      <c r="L296" t="s">
        <v>13</v>
      </c>
      <c r="M296">
        <v>5</v>
      </c>
      <c r="N296" t="str">
        <f t="shared" si="4"/>
        <v>Heavy User</v>
      </c>
    </row>
    <row r="297" spans="1:14" x14ac:dyDescent="0.25">
      <c r="A297">
        <v>296</v>
      </c>
      <c r="B297" t="s">
        <v>14</v>
      </c>
      <c r="C297" t="s">
        <v>12</v>
      </c>
      <c r="D297">
        <v>65</v>
      </c>
      <c r="E297">
        <v>1.8</v>
      </c>
      <c r="F297">
        <v>481</v>
      </c>
      <c r="G297">
        <v>18</v>
      </c>
      <c r="H297">
        <v>130</v>
      </c>
      <c r="I297">
        <v>41</v>
      </c>
      <c r="J297" t="str">
        <f>IF(Table2[[#This Row],[Age]]&lt;=24, "18 - 24", IF(Table2[[#This Row],[Age]]&lt;=34, "25 - 34", IF(Table2[[#This Row],[Age]]&lt;=44, "35 - 44", IF(Table2[[#This Row],[Age]]&lt;=54, "45 - 54", "55 - 59"))))</f>
        <v>35 - 44</v>
      </c>
      <c r="K297" t="str">
        <f>IF(Table2[[#This Row],[Age]]&lt;=24, "Young Adults", IF(Table2[[#This Row],[Age]]&lt;=34, "Early Career", IF(Table2[[#This Row],[Age]]&lt;=44, "Mid Career", IF(Table2[[#This Row],[Age]]&lt;=54, "Mature Adults", "Pre-retirment"))))</f>
        <v>Mid Career</v>
      </c>
      <c r="L297" t="s">
        <v>13</v>
      </c>
      <c r="M297">
        <v>1</v>
      </c>
      <c r="N297" t="str">
        <f t="shared" si="4"/>
        <v>Light User</v>
      </c>
    </row>
    <row r="298" spans="1:14" x14ac:dyDescent="0.25">
      <c r="A298">
        <v>297</v>
      </c>
      <c r="B298" t="s">
        <v>14</v>
      </c>
      <c r="C298" t="s">
        <v>12</v>
      </c>
      <c r="D298">
        <v>458</v>
      </c>
      <c r="E298">
        <v>6.6</v>
      </c>
      <c r="F298">
        <v>2214</v>
      </c>
      <c r="G298">
        <v>67</v>
      </c>
      <c r="H298">
        <v>1163</v>
      </c>
      <c r="I298">
        <v>31</v>
      </c>
      <c r="J298" t="str">
        <f>IF(Table2[[#This Row],[Age]]&lt;=24, "18 - 24", IF(Table2[[#This Row],[Age]]&lt;=34, "25 - 34", IF(Table2[[#This Row],[Age]]&lt;=44, "35 - 44", IF(Table2[[#This Row],[Age]]&lt;=54, "45 - 54", "55 - 59"))))</f>
        <v>25 - 34</v>
      </c>
      <c r="K298" t="str">
        <f>IF(Table2[[#This Row],[Age]]&lt;=24, "Young Adults", IF(Table2[[#This Row],[Age]]&lt;=34, "Early Career", IF(Table2[[#This Row],[Age]]&lt;=44, "Mid Career", IF(Table2[[#This Row],[Age]]&lt;=54, "Mature Adults", "Pre-retirment"))))</f>
        <v>Early Career</v>
      </c>
      <c r="L298" t="s">
        <v>15</v>
      </c>
      <c r="M298">
        <v>4</v>
      </c>
      <c r="N298" t="str">
        <f t="shared" si="4"/>
        <v>Heavy User</v>
      </c>
    </row>
    <row r="299" spans="1:14" x14ac:dyDescent="0.25">
      <c r="A299">
        <v>298</v>
      </c>
      <c r="B299" t="s">
        <v>17</v>
      </c>
      <c r="C299" t="s">
        <v>18</v>
      </c>
      <c r="D299">
        <v>170</v>
      </c>
      <c r="E299">
        <v>2.7</v>
      </c>
      <c r="F299">
        <v>805</v>
      </c>
      <c r="G299">
        <v>26</v>
      </c>
      <c r="H299">
        <v>344</v>
      </c>
      <c r="I299">
        <v>53</v>
      </c>
      <c r="J299" t="str">
        <f>IF(Table2[[#This Row],[Age]]&lt;=24, "18 - 24", IF(Table2[[#This Row],[Age]]&lt;=34, "25 - 34", IF(Table2[[#This Row],[Age]]&lt;=44, "35 - 44", IF(Table2[[#This Row],[Age]]&lt;=54, "45 - 54", "55 - 59"))))</f>
        <v>45 - 54</v>
      </c>
      <c r="K299" t="str">
        <f>IF(Table2[[#This Row],[Age]]&lt;=24, "Young Adults", IF(Table2[[#This Row],[Age]]&lt;=34, "Early Career", IF(Table2[[#This Row],[Age]]&lt;=44, "Mid Career", IF(Table2[[#This Row],[Age]]&lt;=54, "Mature Adults", "Pre-retirment"))))</f>
        <v>Mature Adults</v>
      </c>
      <c r="L299" t="s">
        <v>15</v>
      </c>
      <c r="M299">
        <v>2</v>
      </c>
      <c r="N299" t="str">
        <f t="shared" si="4"/>
        <v>Light User</v>
      </c>
    </row>
    <row r="300" spans="1:14" x14ac:dyDescent="0.25">
      <c r="A300">
        <v>299</v>
      </c>
      <c r="B300" t="s">
        <v>17</v>
      </c>
      <c r="C300" t="s">
        <v>18</v>
      </c>
      <c r="D300">
        <v>264</v>
      </c>
      <c r="E300">
        <v>5.2</v>
      </c>
      <c r="F300">
        <v>1641</v>
      </c>
      <c r="G300">
        <v>44</v>
      </c>
      <c r="H300">
        <v>778</v>
      </c>
      <c r="I300">
        <v>44</v>
      </c>
      <c r="J300" t="str">
        <f>IF(Table2[[#This Row],[Age]]&lt;=24, "18 - 24", IF(Table2[[#This Row],[Age]]&lt;=34, "25 - 34", IF(Table2[[#This Row],[Age]]&lt;=44, "35 - 44", IF(Table2[[#This Row],[Age]]&lt;=54, "45 - 54", "55 - 59"))))</f>
        <v>35 - 44</v>
      </c>
      <c r="K300" t="str">
        <f>IF(Table2[[#This Row],[Age]]&lt;=24, "Young Adults", IF(Table2[[#This Row],[Age]]&lt;=34, "Early Career", IF(Table2[[#This Row],[Age]]&lt;=44, "Mid Career", IF(Table2[[#This Row],[Age]]&lt;=54, "Mature Adults", "Pre-retirment"))))</f>
        <v>Mid Career</v>
      </c>
      <c r="L300" t="s">
        <v>13</v>
      </c>
      <c r="M300">
        <v>3</v>
      </c>
      <c r="N300" t="str">
        <f t="shared" si="4"/>
        <v>Moderate User</v>
      </c>
    </row>
    <row r="301" spans="1:14" x14ac:dyDescent="0.25">
      <c r="A301">
        <v>300</v>
      </c>
      <c r="B301" t="s">
        <v>16</v>
      </c>
      <c r="C301" t="s">
        <v>12</v>
      </c>
      <c r="D301">
        <v>122</v>
      </c>
      <c r="E301">
        <v>3.3</v>
      </c>
      <c r="F301">
        <v>748</v>
      </c>
      <c r="G301">
        <v>35</v>
      </c>
      <c r="H301">
        <v>499</v>
      </c>
      <c r="I301">
        <v>59</v>
      </c>
      <c r="J301" t="str">
        <f>IF(Table2[[#This Row],[Age]]&lt;=24, "18 - 24", IF(Table2[[#This Row],[Age]]&lt;=34, "25 - 34", IF(Table2[[#This Row],[Age]]&lt;=44, "35 - 44", IF(Table2[[#This Row],[Age]]&lt;=54, "45 - 54", "55 - 59"))))</f>
        <v>55 - 59</v>
      </c>
      <c r="K301" t="str">
        <f>IF(Table2[[#This Row],[Age]]&lt;=24, "Young Adults", IF(Table2[[#This Row],[Age]]&lt;=34, "Early Career", IF(Table2[[#This Row],[Age]]&lt;=44, "Mid Career", IF(Table2[[#This Row],[Age]]&lt;=54, "Mature Adults", "Pre-retirment"))))</f>
        <v>Pre-retirment</v>
      </c>
      <c r="L301" t="s">
        <v>15</v>
      </c>
      <c r="M301">
        <v>2</v>
      </c>
      <c r="N301" t="str">
        <f t="shared" si="4"/>
        <v>Light User</v>
      </c>
    </row>
    <row r="302" spans="1:14" x14ac:dyDescent="0.25">
      <c r="A302">
        <v>301</v>
      </c>
      <c r="B302" t="s">
        <v>16</v>
      </c>
      <c r="C302" t="s">
        <v>12</v>
      </c>
      <c r="D302">
        <v>420</v>
      </c>
      <c r="E302">
        <v>6.5</v>
      </c>
      <c r="F302">
        <v>2113</v>
      </c>
      <c r="G302">
        <v>65</v>
      </c>
      <c r="H302">
        <v>1314</v>
      </c>
      <c r="I302">
        <v>35</v>
      </c>
      <c r="J302" t="str">
        <f>IF(Table2[[#This Row],[Age]]&lt;=24, "18 - 24", IF(Table2[[#This Row],[Age]]&lt;=34, "25 - 34", IF(Table2[[#This Row],[Age]]&lt;=44, "35 - 44", IF(Table2[[#This Row],[Age]]&lt;=54, "45 - 54", "55 - 59"))))</f>
        <v>35 - 44</v>
      </c>
      <c r="K302" t="str">
        <f>IF(Table2[[#This Row],[Age]]&lt;=24, "Young Adults", IF(Table2[[#This Row],[Age]]&lt;=34, "Early Career", IF(Table2[[#This Row],[Age]]&lt;=44, "Mid Career", IF(Table2[[#This Row],[Age]]&lt;=54, "Mature Adults", "Pre-retirment"))))</f>
        <v>Mid Career</v>
      </c>
      <c r="L302" t="s">
        <v>13</v>
      </c>
      <c r="M302">
        <v>4</v>
      </c>
      <c r="N302" t="str">
        <f t="shared" si="4"/>
        <v>Heavy User</v>
      </c>
    </row>
    <row r="303" spans="1:14" x14ac:dyDescent="0.25">
      <c r="A303">
        <v>302</v>
      </c>
      <c r="B303" t="s">
        <v>17</v>
      </c>
      <c r="C303" t="s">
        <v>18</v>
      </c>
      <c r="D303">
        <v>267</v>
      </c>
      <c r="E303">
        <v>4.4000000000000004</v>
      </c>
      <c r="F303">
        <v>1505</v>
      </c>
      <c r="G303">
        <v>59</v>
      </c>
      <c r="H303">
        <v>971</v>
      </c>
      <c r="I303">
        <v>38</v>
      </c>
      <c r="J303" t="str">
        <f>IF(Table2[[#This Row],[Age]]&lt;=24, "18 - 24", IF(Table2[[#This Row],[Age]]&lt;=34, "25 - 34", IF(Table2[[#This Row],[Age]]&lt;=44, "35 - 44", IF(Table2[[#This Row],[Age]]&lt;=54, "45 - 54", "55 - 59"))))</f>
        <v>35 - 44</v>
      </c>
      <c r="K303" t="str">
        <f>IF(Table2[[#This Row],[Age]]&lt;=24, "Young Adults", IF(Table2[[#This Row],[Age]]&lt;=34, "Early Career", IF(Table2[[#This Row],[Age]]&lt;=44, "Mid Career", IF(Table2[[#This Row],[Age]]&lt;=54, "Mature Adults", "Pre-retirment"))))</f>
        <v>Mid Career</v>
      </c>
      <c r="L303" t="s">
        <v>15</v>
      </c>
      <c r="M303">
        <v>3</v>
      </c>
      <c r="N303" t="str">
        <f t="shared" si="4"/>
        <v>Moderate User</v>
      </c>
    </row>
    <row r="304" spans="1:14" x14ac:dyDescent="0.25">
      <c r="A304">
        <v>303</v>
      </c>
      <c r="B304" t="s">
        <v>17</v>
      </c>
      <c r="C304" t="s">
        <v>18</v>
      </c>
      <c r="D304">
        <v>469</v>
      </c>
      <c r="E304">
        <v>6</v>
      </c>
      <c r="F304">
        <v>2290</v>
      </c>
      <c r="G304">
        <v>67</v>
      </c>
      <c r="H304">
        <v>1086</v>
      </c>
      <c r="I304">
        <v>34</v>
      </c>
      <c r="J304" t="str">
        <f>IF(Table2[[#This Row],[Age]]&lt;=24, "18 - 24", IF(Table2[[#This Row],[Age]]&lt;=34, "25 - 34", IF(Table2[[#This Row],[Age]]&lt;=44, "35 - 44", IF(Table2[[#This Row],[Age]]&lt;=54, "45 - 54", "55 - 59"))))</f>
        <v>25 - 34</v>
      </c>
      <c r="K304" t="str">
        <f>IF(Table2[[#This Row],[Age]]&lt;=24, "Young Adults", IF(Table2[[#This Row],[Age]]&lt;=34, "Early Career", IF(Table2[[#This Row],[Age]]&lt;=44, "Mid Career", IF(Table2[[#This Row],[Age]]&lt;=54, "Mature Adults", "Pre-retirment"))))</f>
        <v>Early Career</v>
      </c>
      <c r="L304" t="s">
        <v>15</v>
      </c>
      <c r="M304">
        <v>4</v>
      </c>
      <c r="N304" t="str">
        <f t="shared" si="4"/>
        <v>Heavy User</v>
      </c>
    </row>
    <row r="305" spans="1:14" x14ac:dyDescent="0.25">
      <c r="A305">
        <v>304</v>
      </c>
      <c r="B305" t="s">
        <v>17</v>
      </c>
      <c r="C305" t="s">
        <v>18</v>
      </c>
      <c r="D305">
        <v>541</v>
      </c>
      <c r="E305">
        <v>11.4</v>
      </c>
      <c r="F305">
        <v>2443</v>
      </c>
      <c r="G305">
        <v>89</v>
      </c>
      <c r="H305">
        <v>1923</v>
      </c>
      <c r="I305">
        <v>34</v>
      </c>
      <c r="J305" t="str">
        <f>IF(Table2[[#This Row],[Age]]&lt;=24, "18 - 24", IF(Table2[[#This Row],[Age]]&lt;=34, "25 - 34", IF(Table2[[#This Row],[Age]]&lt;=44, "35 - 44", IF(Table2[[#This Row],[Age]]&lt;=54, "45 - 54", "55 - 59"))))</f>
        <v>25 - 34</v>
      </c>
      <c r="K305" t="str">
        <f>IF(Table2[[#This Row],[Age]]&lt;=24, "Young Adults", IF(Table2[[#This Row],[Age]]&lt;=34, "Early Career", IF(Table2[[#This Row],[Age]]&lt;=44, "Mid Career", IF(Table2[[#This Row],[Age]]&lt;=54, "Mature Adults", "Pre-retirment"))))</f>
        <v>Early Career</v>
      </c>
      <c r="L305" t="s">
        <v>15</v>
      </c>
      <c r="M305">
        <v>5</v>
      </c>
      <c r="N305" t="str">
        <f t="shared" si="4"/>
        <v>Heavy User</v>
      </c>
    </row>
    <row r="306" spans="1:14" x14ac:dyDescent="0.25">
      <c r="A306">
        <v>305</v>
      </c>
      <c r="B306" t="s">
        <v>17</v>
      </c>
      <c r="C306" t="s">
        <v>18</v>
      </c>
      <c r="D306">
        <v>155</v>
      </c>
      <c r="E306">
        <v>2.9</v>
      </c>
      <c r="F306">
        <v>1117</v>
      </c>
      <c r="G306">
        <v>22</v>
      </c>
      <c r="H306">
        <v>322</v>
      </c>
      <c r="I306">
        <v>19</v>
      </c>
      <c r="J306" t="str">
        <f>IF(Table2[[#This Row],[Age]]&lt;=24, "18 - 24", IF(Table2[[#This Row],[Age]]&lt;=34, "25 - 34", IF(Table2[[#This Row],[Age]]&lt;=44, "35 - 44", IF(Table2[[#This Row],[Age]]&lt;=54, "45 - 54", "55 - 59"))))</f>
        <v>18 - 24</v>
      </c>
      <c r="K306" t="str">
        <f>IF(Table2[[#This Row],[Age]]&lt;=24, "Young Adults", IF(Table2[[#This Row],[Age]]&lt;=34, "Early Career", IF(Table2[[#This Row],[Age]]&lt;=44, "Mid Career", IF(Table2[[#This Row],[Age]]&lt;=54, "Mature Adults", "Pre-retirment"))))</f>
        <v>Young Adults</v>
      </c>
      <c r="L306" t="s">
        <v>15</v>
      </c>
      <c r="M306">
        <v>2</v>
      </c>
      <c r="N306" t="str">
        <f t="shared" si="4"/>
        <v>Light User</v>
      </c>
    </row>
    <row r="307" spans="1:14" x14ac:dyDescent="0.25">
      <c r="A307">
        <v>306</v>
      </c>
      <c r="B307" t="s">
        <v>14</v>
      </c>
      <c r="C307" t="s">
        <v>12</v>
      </c>
      <c r="D307">
        <v>106</v>
      </c>
      <c r="E307">
        <v>2.8</v>
      </c>
      <c r="F307">
        <v>686</v>
      </c>
      <c r="G307">
        <v>32</v>
      </c>
      <c r="H307">
        <v>594</v>
      </c>
      <c r="I307">
        <v>27</v>
      </c>
      <c r="J307" t="str">
        <f>IF(Table2[[#This Row],[Age]]&lt;=24, "18 - 24", IF(Table2[[#This Row],[Age]]&lt;=34, "25 - 34", IF(Table2[[#This Row],[Age]]&lt;=44, "35 - 44", IF(Table2[[#This Row],[Age]]&lt;=54, "45 - 54", "55 - 59"))))</f>
        <v>25 - 34</v>
      </c>
      <c r="K307" t="str">
        <f>IF(Table2[[#This Row],[Age]]&lt;=24, "Young Adults", IF(Table2[[#This Row],[Age]]&lt;=34, "Early Career", IF(Table2[[#This Row],[Age]]&lt;=44, "Mid Career", IF(Table2[[#This Row],[Age]]&lt;=54, "Mature Adults", "Pre-retirment"))))</f>
        <v>Early Career</v>
      </c>
      <c r="L307" t="s">
        <v>13</v>
      </c>
      <c r="M307">
        <v>2</v>
      </c>
      <c r="N307" t="str">
        <f t="shared" si="4"/>
        <v>Light User</v>
      </c>
    </row>
    <row r="308" spans="1:14" x14ac:dyDescent="0.25">
      <c r="A308">
        <v>307</v>
      </c>
      <c r="B308" t="s">
        <v>14</v>
      </c>
      <c r="C308" t="s">
        <v>12</v>
      </c>
      <c r="D308">
        <v>243</v>
      </c>
      <c r="E308">
        <v>5</v>
      </c>
      <c r="F308">
        <v>1232</v>
      </c>
      <c r="G308">
        <v>47</v>
      </c>
      <c r="H308">
        <v>877</v>
      </c>
      <c r="I308">
        <v>43</v>
      </c>
      <c r="J308" t="str">
        <f>IF(Table2[[#This Row],[Age]]&lt;=24, "18 - 24", IF(Table2[[#This Row],[Age]]&lt;=34, "25 - 34", IF(Table2[[#This Row],[Age]]&lt;=44, "35 - 44", IF(Table2[[#This Row],[Age]]&lt;=54, "45 - 54", "55 - 59"))))</f>
        <v>35 - 44</v>
      </c>
      <c r="K308" t="str">
        <f>IF(Table2[[#This Row],[Age]]&lt;=24, "Young Adults", IF(Table2[[#This Row],[Age]]&lt;=34, "Early Career", IF(Table2[[#This Row],[Age]]&lt;=44, "Mid Career", IF(Table2[[#This Row],[Age]]&lt;=54, "Mature Adults", "Pre-retirment"))))</f>
        <v>Mid Career</v>
      </c>
      <c r="L308" t="s">
        <v>13</v>
      </c>
      <c r="M308">
        <v>3</v>
      </c>
      <c r="N308" t="str">
        <f t="shared" si="4"/>
        <v>Moderate User</v>
      </c>
    </row>
    <row r="309" spans="1:14" x14ac:dyDescent="0.25">
      <c r="A309">
        <v>308</v>
      </c>
      <c r="B309" t="s">
        <v>14</v>
      </c>
      <c r="C309" t="s">
        <v>12</v>
      </c>
      <c r="D309">
        <v>410</v>
      </c>
      <c r="E309">
        <v>7.5</v>
      </c>
      <c r="F309">
        <v>2176</v>
      </c>
      <c r="G309">
        <v>68</v>
      </c>
      <c r="H309">
        <v>1213</v>
      </c>
      <c r="I309">
        <v>45</v>
      </c>
      <c r="J309" t="str">
        <f>IF(Table2[[#This Row],[Age]]&lt;=24, "18 - 24", IF(Table2[[#This Row],[Age]]&lt;=34, "25 - 34", IF(Table2[[#This Row],[Age]]&lt;=44, "35 - 44", IF(Table2[[#This Row],[Age]]&lt;=54, "45 - 54", "55 - 59"))))</f>
        <v>45 - 54</v>
      </c>
      <c r="K309" t="str">
        <f>IF(Table2[[#This Row],[Age]]&lt;=24, "Young Adults", IF(Table2[[#This Row],[Age]]&lt;=34, "Early Career", IF(Table2[[#This Row],[Age]]&lt;=44, "Mid Career", IF(Table2[[#This Row],[Age]]&lt;=54, "Mature Adults", "Pre-retirment"))))</f>
        <v>Mature Adults</v>
      </c>
      <c r="L309" t="s">
        <v>15</v>
      </c>
      <c r="M309">
        <v>4</v>
      </c>
      <c r="N309" t="str">
        <f t="shared" si="4"/>
        <v>Heavy User</v>
      </c>
    </row>
    <row r="310" spans="1:14" x14ac:dyDescent="0.25">
      <c r="A310">
        <v>309</v>
      </c>
      <c r="B310" t="s">
        <v>17</v>
      </c>
      <c r="C310" t="s">
        <v>18</v>
      </c>
      <c r="D310">
        <v>285</v>
      </c>
      <c r="E310">
        <v>5.0999999999999996</v>
      </c>
      <c r="F310">
        <v>1226</v>
      </c>
      <c r="G310">
        <v>57</v>
      </c>
      <c r="H310">
        <v>666</v>
      </c>
      <c r="I310">
        <v>20</v>
      </c>
      <c r="J310" t="str">
        <f>IF(Table2[[#This Row],[Age]]&lt;=24, "18 - 24", IF(Table2[[#This Row],[Age]]&lt;=34, "25 - 34", IF(Table2[[#This Row],[Age]]&lt;=44, "35 - 44", IF(Table2[[#This Row],[Age]]&lt;=54, "45 - 54", "55 - 59"))))</f>
        <v>18 - 24</v>
      </c>
      <c r="K310" t="str">
        <f>IF(Table2[[#This Row],[Age]]&lt;=24, "Young Adults", IF(Table2[[#This Row],[Age]]&lt;=34, "Early Career", IF(Table2[[#This Row],[Age]]&lt;=44, "Mid Career", IF(Table2[[#This Row],[Age]]&lt;=54, "Mature Adults", "Pre-retirment"))))</f>
        <v>Young Adults</v>
      </c>
      <c r="L310" t="s">
        <v>15</v>
      </c>
      <c r="M310">
        <v>3</v>
      </c>
      <c r="N310" t="str">
        <f t="shared" si="4"/>
        <v>Moderate User</v>
      </c>
    </row>
    <row r="311" spans="1:14" x14ac:dyDescent="0.25">
      <c r="A311">
        <v>310</v>
      </c>
      <c r="B311" t="s">
        <v>14</v>
      </c>
      <c r="C311" t="s">
        <v>12</v>
      </c>
      <c r="D311">
        <v>397</v>
      </c>
      <c r="E311">
        <v>6.8</v>
      </c>
      <c r="F311">
        <v>2027</v>
      </c>
      <c r="G311">
        <v>66</v>
      </c>
      <c r="H311">
        <v>1167</v>
      </c>
      <c r="I311">
        <v>40</v>
      </c>
      <c r="J311" t="str">
        <f>IF(Table2[[#This Row],[Age]]&lt;=24, "18 - 24", IF(Table2[[#This Row],[Age]]&lt;=34, "25 - 34", IF(Table2[[#This Row],[Age]]&lt;=44, "35 - 44", IF(Table2[[#This Row],[Age]]&lt;=54, "45 - 54", "55 - 59"))))</f>
        <v>35 - 44</v>
      </c>
      <c r="K311" t="str">
        <f>IF(Table2[[#This Row],[Age]]&lt;=24, "Young Adults", IF(Table2[[#This Row],[Age]]&lt;=34, "Early Career", IF(Table2[[#This Row],[Age]]&lt;=44, "Mid Career", IF(Table2[[#This Row],[Age]]&lt;=54, "Mature Adults", "Pre-retirment"))))</f>
        <v>Mid Career</v>
      </c>
      <c r="L311" t="s">
        <v>13</v>
      </c>
      <c r="M311">
        <v>4</v>
      </c>
      <c r="N311" t="str">
        <f t="shared" si="4"/>
        <v>Heavy User</v>
      </c>
    </row>
    <row r="312" spans="1:14" x14ac:dyDescent="0.25">
      <c r="A312">
        <v>311</v>
      </c>
      <c r="B312" t="s">
        <v>19</v>
      </c>
      <c r="C312" t="s">
        <v>12</v>
      </c>
      <c r="D312">
        <v>230</v>
      </c>
      <c r="E312">
        <v>4.2</v>
      </c>
      <c r="F312">
        <v>1507</v>
      </c>
      <c r="G312">
        <v>51</v>
      </c>
      <c r="H312">
        <v>868</v>
      </c>
      <c r="I312">
        <v>25</v>
      </c>
      <c r="J312" t="str">
        <f>IF(Table2[[#This Row],[Age]]&lt;=24, "18 - 24", IF(Table2[[#This Row],[Age]]&lt;=34, "25 - 34", IF(Table2[[#This Row],[Age]]&lt;=44, "35 - 44", IF(Table2[[#This Row],[Age]]&lt;=54, "45 - 54", "55 - 59"))))</f>
        <v>25 - 34</v>
      </c>
      <c r="K312" t="str">
        <f>IF(Table2[[#This Row],[Age]]&lt;=24, "Young Adults", IF(Table2[[#This Row],[Age]]&lt;=34, "Early Career", IF(Table2[[#This Row],[Age]]&lt;=44, "Mid Career", IF(Table2[[#This Row],[Age]]&lt;=54, "Mature Adults", "Pre-retirment"))))</f>
        <v>Early Career</v>
      </c>
      <c r="L312" t="s">
        <v>15</v>
      </c>
      <c r="M312">
        <v>3</v>
      </c>
      <c r="N312" t="str">
        <f t="shared" si="4"/>
        <v>Moderate User</v>
      </c>
    </row>
    <row r="313" spans="1:14" x14ac:dyDescent="0.25">
      <c r="A313">
        <v>312</v>
      </c>
      <c r="B313" t="s">
        <v>17</v>
      </c>
      <c r="C313" t="s">
        <v>18</v>
      </c>
      <c r="D313">
        <v>341</v>
      </c>
      <c r="E313">
        <v>7.2</v>
      </c>
      <c r="F313">
        <v>2397</v>
      </c>
      <c r="G313">
        <v>68</v>
      </c>
      <c r="H313">
        <v>1055</v>
      </c>
      <c r="I313">
        <v>32</v>
      </c>
      <c r="J313" t="str">
        <f>IF(Table2[[#This Row],[Age]]&lt;=24, "18 - 24", IF(Table2[[#This Row],[Age]]&lt;=34, "25 - 34", IF(Table2[[#This Row],[Age]]&lt;=44, "35 - 44", IF(Table2[[#This Row],[Age]]&lt;=54, "45 - 54", "55 - 59"))))</f>
        <v>25 - 34</v>
      </c>
      <c r="K313" t="str">
        <f>IF(Table2[[#This Row],[Age]]&lt;=24, "Young Adults", IF(Table2[[#This Row],[Age]]&lt;=34, "Early Career", IF(Table2[[#This Row],[Age]]&lt;=44, "Mid Career", IF(Table2[[#This Row],[Age]]&lt;=54, "Mature Adults", "Pre-retirment"))))</f>
        <v>Early Career</v>
      </c>
      <c r="L313" t="s">
        <v>15</v>
      </c>
      <c r="M313">
        <v>4</v>
      </c>
      <c r="N313" t="str">
        <f t="shared" si="4"/>
        <v>Heavy User</v>
      </c>
    </row>
    <row r="314" spans="1:14" x14ac:dyDescent="0.25">
      <c r="A314">
        <v>313</v>
      </c>
      <c r="B314" t="s">
        <v>11</v>
      </c>
      <c r="C314" t="s">
        <v>12</v>
      </c>
      <c r="D314">
        <v>132</v>
      </c>
      <c r="E314">
        <v>2.9</v>
      </c>
      <c r="F314">
        <v>1054</v>
      </c>
      <c r="G314">
        <v>32</v>
      </c>
      <c r="H314">
        <v>563</v>
      </c>
      <c r="I314">
        <v>20</v>
      </c>
      <c r="J314" t="str">
        <f>IF(Table2[[#This Row],[Age]]&lt;=24, "18 - 24", IF(Table2[[#This Row],[Age]]&lt;=34, "25 - 34", IF(Table2[[#This Row],[Age]]&lt;=44, "35 - 44", IF(Table2[[#This Row],[Age]]&lt;=54, "45 - 54", "55 - 59"))))</f>
        <v>18 - 24</v>
      </c>
      <c r="K314" t="str">
        <f>IF(Table2[[#This Row],[Age]]&lt;=24, "Young Adults", IF(Table2[[#This Row],[Age]]&lt;=34, "Early Career", IF(Table2[[#This Row],[Age]]&lt;=44, "Mid Career", IF(Table2[[#This Row],[Age]]&lt;=54, "Mature Adults", "Pre-retirment"))))</f>
        <v>Young Adults</v>
      </c>
      <c r="L314" t="s">
        <v>13</v>
      </c>
      <c r="M314">
        <v>2</v>
      </c>
      <c r="N314" t="str">
        <f t="shared" si="4"/>
        <v>Light User</v>
      </c>
    </row>
    <row r="315" spans="1:14" x14ac:dyDescent="0.25">
      <c r="A315">
        <v>314</v>
      </c>
      <c r="B315" t="s">
        <v>16</v>
      </c>
      <c r="C315" t="s">
        <v>12</v>
      </c>
      <c r="D315">
        <v>130</v>
      </c>
      <c r="E315">
        <v>3</v>
      </c>
      <c r="F315">
        <v>820</v>
      </c>
      <c r="G315">
        <v>21</v>
      </c>
      <c r="H315">
        <v>308</v>
      </c>
      <c r="I315">
        <v>49</v>
      </c>
      <c r="J315" t="str">
        <f>IF(Table2[[#This Row],[Age]]&lt;=24, "18 - 24", IF(Table2[[#This Row],[Age]]&lt;=34, "25 - 34", IF(Table2[[#This Row],[Age]]&lt;=44, "35 - 44", IF(Table2[[#This Row],[Age]]&lt;=54, "45 - 54", "55 - 59"))))</f>
        <v>45 - 54</v>
      </c>
      <c r="K315" t="str">
        <f>IF(Table2[[#This Row],[Age]]&lt;=24, "Young Adults", IF(Table2[[#This Row],[Age]]&lt;=34, "Early Career", IF(Table2[[#This Row],[Age]]&lt;=44, "Mid Career", IF(Table2[[#This Row],[Age]]&lt;=54, "Mature Adults", "Pre-retirment"))))</f>
        <v>Mature Adults</v>
      </c>
      <c r="L315" t="s">
        <v>15</v>
      </c>
      <c r="M315">
        <v>2</v>
      </c>
      <c r="N315" t="str">
        <f t="shared" si="4"/>
        <v>Light User</v>
      </c>
    </row>
    <row r="316" spans="1:14" x14ac:dyDescent="0.25">
      <c r="A316">
        <v>315</v>
      </c>
      <c r="B316" t="s">
        <v>17</v>
      </c>
      <c r="C316" t="s">
        <v>18</v>
      </c>
      <c r="D316">
        <v>281</v>
      </c>
      <c r="E316">
        <v>4.9000000000000004</v>
      </c>
      <c r="F316">
        <v>1566</v>
      </c>
      <c r="G316">
        <v>59</v>
      </c>
      <c r="H316">
        <v>632</v>
      </c>
      <c r="I316">
        <v>29</v>
      </c>
      <c r="J316" t="str">
        <f>IF(Table2[[#This Row],[Age]]&lt;=24, "18 - 24", IF(Table2[[#This Row],[Age]]&lt;=34, "25 - 34", IF(Table2[[#This Row],[Age]]&lt;=44, "35 - 44", IF(Table2[[#This Row],[Age]]&lt;=54, "45 - 54", "55 - 59"))))</f>
        <v>25 - 34</v>
      </c>
      <c r="K316" t="str">
        <f>IF(Table2[[#This Row],[Age]]&lt;=24, "Young Adults", IF(Table2[[#This Row],[Age]]&lt;=34, "Early Career", IF(Table2[[#This Row],[Age]]&lt;=44, "Mid Career", IF(Table2[[#This Row],[Age]]&lt;=54, "Mature Adults", "Pre-retirment"))))</f>
        <v>Early Career</v>
      </c>
      <c r="L316" t="s">
        <v>13</v>
      </c>
      <c r="M316">
        <v>3</v>
      </c>
      <c r="N316" t="str">
        <f t="shared" si="4"/>
        <v>Moderate User</v>
      </c>
    </row>
    <row r="317" spans="1:14" x14ac:dyDescent="0.25">
      <c r="A317">
        <v>316</v>
      </c>
      <c r="B317" t="s">
        <v>14</v>
      </c>
      <c r="C317" t="s">
        <v>12</v>
      </c>
      <c r="D317">
        <v>74</v>
      </c>
      <c r="E317">
        <v>2</v>
      </c>
      <c r="F317">
        <v>320</v>
      </c>
      <c r="G317">
        <v>11</v>
      </c>
      <c r="H317">
        <v>103</v>
      </c>
      <c r="I317">
        <v>55</v>
      </c>
      <c r="J317" t="str">
        <f>IF(Table2[[#This Row],[Age]]&lt;=24, "18 - 24", IF(Table2[[#This Row],[Age]]&lt;=34, "25 - 34", IF(Table2[[#This Row],[Age]]&lt;=44, "35 - 44", IF(Table2[[#This Row],[Age]]&lt;=54, "45 - 54", "55 - 59"))))</f>
        <v>55 - 59</v>
      </c>
      <c r="K317" t="str">
        <f>IF(Table2[[#This Row],[Age]]&lt;=24, "Young Adults", IF(Table2[[#This Row],[Age]]&lt;=34, "Early Career", IF(Table2[[#This Row],[Age]]&lt;=44, "Mid Career", IF(Table2[[#This Row],[Age]]&lt;=54, "Mature Adults", "Pre-retirment"))))</f>
        <v>Pre-retirment</v>
      </c>
      <c r="L317" t="s">
        <v>15</v>
      </c>
      <c r="M317">
        <v>1</v>
      </c>
      <c r="N317" t="str">
        <f t="shared" si="4"/>
        <v>Light User</v>
      </c>
    </row>
    <row r="318" spans="1:14" x14ac:dyDescent="0.25">
      <c r="A318">
        <v>317</v>
      </c>
      <c r="B318" t="s">
        <v>14</v>
      </c>
      <c r="C318" t="s">
        <v>12</v>
      </c>
      <c r="D318">
        <v>299</v>
      </c>
      <c r="E318">
        <v>4.3</v>
      </c>
      <c r="F318">
        <v>1737</v>
      </c>
      <c r="G318">
        <v>43</v>
      </c>
      <c r="H318">
        <v>953</v>
      </c>
      <c r="I318">
        <v>42</v>
      </c>
      <c r="J318" t="str">
        <f>IF(Table2[[#This Row],[Age]]&lt;=24, "18 - 24", IF(Table2[[#This Row],[Age]]&lt;=34, "25 - 34", IF(Table2[[#This Row],[Age]]&lt;=44, "35 - 44", IF(Table2[[#This Row],[Age]]&lt;=54, "45 - 54", "55 - 59"))))</f>
        <v>35 - 44</v>
      </c>
      <c r="K318" t="str">
        <f>IF(Table2[[#This Row],[Age]]&lt;=24, "Young Adults", IF(Table2[[#This Row],[Age]]&lt;=34, "Early Career", IF(Table2[[#This Row],[Age]]&lt;=44, "Mid Career", IF(Table2[[#This Row],[Age]]&lt;=54, "Mature Adults", "Pre-retirment"))))</f>
        <v>Mid Career</v>
      </c>
      <c r="L318" t="s">
        <v>15</v>
      </c>
      <c r="M318">
        <v>3</v>
      </c>
      <c r="N318" t="str">
        <f t="shared" si="4"/>
        <v>Moderate User</v>
      </c>
    </row>
    <row r="319" spans="1:14" x14ac:dyDescent="0.25">
      <c r="A319">
        <v>318</v>
      </c>
      <c r="B319" t="s">
        <v>11</v>
      </c>
      <c r="C319" t="s">
        <v>12</v>
      </c>
      <c r="D319">
        <v>116</v>
      </c>
      <c r="E319">
        <v>2.2000000000000002</v>
      </c>
      <c r="F319">
        <v>827</v>
      </c>
      <c r="G319">
        <v>29</v>
      </c>
      <c r="H319">
        <v>434</v>
      </c>
      <c r="I319">
        <v>28</v>
      </c>
      <c r="J319" t="str">
        <f>IF(Table2[[#This Row],[Age]]&lt;=24, "18 - 24", IF(Table2[[#This Row],[Age]]&lt;=34, "25 - 34", IF(Table2[[#This Row],[Age]]&lt;=44, "35 - 44", IF(Table2[[#This Row],[Age]]&lt;=54, "45 - 54", "55 - 59"))))</f>
        <v>25 - 34</v>
      </c>
      <c r="K319" t="str">
        <f>IF(Table2[[#This Row],[Age]]&lt;=24, "Young Adults", IF(Table2[[#This Row],[Age]]&lt;=34, "Early Career", IF(Table2[[#This Row],[Age]]&lt;=44, "Mid Career", IF(Table2[[#This Row],[Age]]&lt;=54, "Mature Adults", "Pre-retirment"))))</f>
        <v>Early Career</v>
      </c>
      <c r="L319" t="s">
        <v>15</v>
      </c>
      <c r="M319">
        <v>2</v>
      </c>
      <c r="N319" t="str">
        <f t="shared" si="4"/>
        <v>Light User</v>
      </c>
    </row>
    <row r="320" spans="1:14" x14ac:dyDescent="0.25">
      <c r="A320">
        <v>319</v>
      </c>
      <c r="B320" t="s">
        <v>14</v>
      </c>
      <c r="C320" t="s">
        <v>12</v>
      </c>
      <c r="D320">
        <v>408</v>
      </c>
      <c r="E320">
        <v>6.6</v>
      </c>
      <c r="F320">
        <v>2026</v>
      </c>
      <c r="G320">
        <v>63</v>
      </c>
      <c r="H320">
        <v>1076</v>
      </c>
      <c r="I320">
        <v>47</v>
      </c>
      <c r="J320" t="str">
        <f>IF(Table2[[#This Row],[Age]]&lt;=24, "18 - 24", IF(Table2[[#This Row],[Age]]&lt;=34, "25 - 34", IF(Table2[[#This Row],[Age]]&lt;=44, "35 - 44", IF(Table2[[#This Row],[Age]]&lt;=54, "45 - 54", "55 - 59"))))</f>
        <v>45 - 54</v>
      </c>
      <c r="K320" t="str">
        <f>IF(Table2[[#This Row],[Age]]&lt;=24, "Young Adults", IF(Table2[[#This Row],[Age]]&lt;=34, "Early Career", IF(Table2[[#This Row],[Age]]&lt;=44, "Mid Career", IF(Table2[[#This Row],[Age]]&lt;=54, "Mature Adults", "Pre-retirment"))))</f>
        <v>Mature Adults</v>
      </c>
      <c r="L320" t="s">
        <v>15</v>
      </c>
      <c r="M320">
        <v>4</v>
      </c>
      <c r="N320" t="str">
        <f t="shared" si="4"/>
        <v>Heavy User</v>
      </c>
    </row>
    <row r="321" spans="1:14" x14ac:dyDescent="0.25">
      <c r="A321">
        <v>320</v>
      </c>
      <c r="B321" t="s">
        <v>11</v>
      </c>
      <c r="C321" t="s">
        <v>12</v>
      </c>
      <c r="D321">
        <v>508</v>
      </c>
      <c r="E321">
        <v>11.3</v>
      </c>
      <c r="F321">
        <v>2590</v>
      </c>
      <c r="G321">
        <v>81</v>
      </c>
      <c r="H321">
        <v>2481</v>
      </c>
      <c r="I321">
        <v>51</v>
      </c>
      <c r="J321" t="str">
        <f>IF(Table2[[#This Row],[Age]]&lt;=24, "18 - 24", IF(Table2[[#This Row],[Age]]&lt;=34, "25 - 34", IF(Table2[[#This Row],[Age]]&lt;=44, "35 - 44", IF(Table2[[#This Row],[Age]]&lt;=54, "45 - 54", "55 - 59"))))</f>
        <v>45 - 54</v>
      </c>
      <c r="K321" t="str">
        <f>IF(Table2[[#This Row],[Age]]&lt;=24, "Young Adults", IF(Table2[[#This Row],[Age]]&lt;=34, "Early Career", IF(Table2[[#This Row],[Age]]&lt;=44, "Mid Career", IF(Table2[[#This Row],[Age]]&lt;=54, "Mature Adults", "Pre-retirment"))))</f>
        <v>Mature Adults</v>
      </c>
      <c r="L321" t="s">
        <v>13</v>
      </c>
      <c r="M321">
        <v>5</v>
      </c>
      <c r="N321" t="str">
        <f t="shared" si="4"/>
        <v>Heavy User</v>
      </c>
    </row>
    <row r="322" spans="1:14" x14ac:dyDescent="0.25">
      <c r="A322">
        <v>321</v>
      </c>
      <c r="B322" t="s">
        <v>17</v>
      </c>
      <c r="C322" t="s">
        <v>18</v>
      </c>
      <c r="D322">
        <v>227</v>
      </c>
      <c r="E322">
        <v>4.4000000000000004</v>
      </c>
      <c r="F322">
        <v>1275</v>
      </c>
      <c r="G322">
        <v>56</v>
      </c>
      <c r="H322">
        <v>984</v>
      </c>
      <c r="I322">
        <v>22</v>
      </c>
      <c r="J322" t="str">
        <f>IF(Table2[[#This Row],[Age]]&lt;=24, "18 - 24", IF(Table2[[#This Row],[Age]]&lt;=34, "25 - 34", IF(Table2[[#This Row],[Age]]&lt;=44, "35 - 44", IF(Table2[[#This Row],[Age]]&lt;=54, "45 - 54", "55 - 59"))))</f>
        <v>18 - 24</v>
      </c>
      <c r="K322" t="str">
        <f>IF(Table2[[#This Row],[Age]]&lt;=24, "Young Adults", IF(Table2[[#This Row],[Age]]&lt;=34, "Early Career", IF(Table2[[#This Row],[Age]]&lt;=44, "Mid Career", IF(Table2[[#This Row],[Age]]&lt;=54, "Mature Adults", "Pre-retirment"))))</f>
        <v>Young Adults</v>
      </c>
      <c r="L322" t="s">
        <v>15</v>
      </c>
      <c r="M322">
        <v>3</v>
      </c>
      <c r="N322" t="str">
        <f t="shared" si="4"/>
        <v>Moderate User</v>
      </c>
    </row>
    <row r="323" spans="1:14" x14ac:dyDescent="0.25">
      <c r="A323">
        <v>322</v>
      </c>
      <c r="B323" t="s">
        <v>11</v>
      </c>
      <c r="C323" t="s">
        <v>12</v>
      </c>
      <c r="D323">
        <v>274</v>
      </c>
      <c r="E323">
        <v>6</v>
      </c>
      <c r="F323">
        <v>1489</v>
      </c>
      <c r="G323">
        <v>56</v>
      </c>
      <c r="H323">
        <v>666</v>
      </c>
      <c r="I323">
        <v>57</v>
      </c>
      <c r="J323" t="str">
        <f>IF(Table2[[#This Row],[Age]]&lt;=24, "18 - 24", IF(Table2[[#This Row],[Age]]&lt;=34, "25 - 34", IF(Table2[[#This Row],[Age]]&lt;=44, "35 - 44", IF(Table2[[#This Row],[Age]]&lt;=54, "45 - 54", "55 - 59"))))</f>
        <v>55 - 59</v>
      </c>
      <c r="K323" t="str">
        <f>IF(Table2[[#This Row],[Age]]&lt;=24, "Young Adults", IF(Table2[[#This Row],[Age]]&lt;=34, "Early Career", IF(Table2[[#This Row],[Age]]&lt;=44, "Mid Career", IF(Table2[[#This Row],[Age]]&lt;=54, "Mature Adults", "Pre-retirment"))))</f>
        <v>Pre-retirment</v>
      </c>
      <c r="L323" t="s">
        <v>15</v>
      </c>
      <c r="M323">
        <v>3</v>
      </c>
      <c r="N323" t="str">
        <f t="shared" ref="N323:N386" si="5">IF(M323&lt;=2, "Light User", IF(M323=3, "Moderate User", "Heavy User"))</f>
        <v>Moderate User</v>
      </c>
    </row>
    <row r="324" spans="1:14" x14ac:dyDescent="0.25">
      <c r="A324">
        <v>323</v>
      </c>
      <c r="B324" t="s">
        <v>11</v>
      </c>
      <c r="C324" t="s">
        <v>12</v>
      </c>
      <c r="D324">
        <v>347</v>
      </c>
      <c r="E324">
        <v>6.3</v>
      </c>
      <c r="F324">
        <v>2001</v>
      </c>
      <c r="G324">
        <v>61</v>
      </c>
      <c r="H324">
        <v>1456</v>
      </c>
      <c r="I324">
        <v>21</v>
      </c>
      <c r="J324" t="str">
        <f>IF(Table2[[#This Row],[Age]]&lt;=24, "18 - 24", IF(Table2[[#This Row],[Age]]&lt;=34, "25 - 34", IF(Table2[[#This Row],[Age]]&lt;=44, "35 - 44", IF(Table2[[#This Row],[Age]]&lt;=54, "45 - 54", "55 - 59"))))</f>
        <v>18 - 24</v>
      </c>
      <c r="K324" t="str">
        <f>IF(Table2[[#This Row],[Age]]&lt;=24, "Young Adults", IF(Table2[[#This Row],[Age]]&lt;=34, "Early Career", IF(Table2[[#This Row],[Age]]&lt;=44, "Mid Career", IF(Table2[[#This Row],[Age]]&lt;=54, "Mature Adults", "Pre-retirment"))))</f>
        <v>Young Adults</v>
      </c>
      <c r="L324" t="s">
        <v>15</v>
      </c>
      <c r="M324">
        <v>4</v>
      </c>
      <c r="N324" t="str">
        <f t="shared" si="5"/>
        <v>Heavy User</v>
      </c>
    </row>
    <row r="325" spans="1:14" x14ac:dyDescent="0.25">
      <c r="A325">
        <v>324</v>
      </c>
      <c r="B325" t="s">
        <v>16</v>
      </c>
      <c r="C325" t="s">
        <v>12</v>
      </c>
      <c r="D325">
        <v>76</v>
      </c>
      <c r="E325">
        <v>1.3</v>
      </c>
      <c r="F325">
        <v>490</v>
      </c>
      <c r="G325">
        <v>14</v>
      </c>
      <c r="H325">
        <v>156</v>
      </c>
      <c r="I325">
        <v>31</v>
      </c>
      <c r="J325" t="str">
        <f>IF(Table2[[#This Row],[Age]]&lt;=24, "18 - 24", IF(Table2[[#This Row],[Age]]&lt;=34, "25 - 34", IF(Table2[[#This Row],[Age]]&lt;=44, "35 - 44", IF(Table2[[#This Row],[Age]]&lt;=54, "45 - 54", "55 - 59"))))</f>
        <v>25 - 34</v>
      </c>
      <c r="K325" t="str">
        <f>IF(Table2[[#This Row],[Age]]&lt;=24, "Young Adults", IF(Table2[[#This Row],[Age]]&lt;=34, "Early Career", IF(Table2[[#This Row],[Age]]&lt;=44, "Mid Career", IF(Table2[[#This Row],[Age]]&lt;=54, "Mature Adults", "Pre-retirment"))))</f>
        <v>Early Career</v>
      </c>
      <c r="L325" t="s">
        <v>15</v>
      </c>
      <c r="M325">
        <v>1</v>
      </c>
      <c r="N325" t="str">
        <f t="shared" si="5"/>
        <v>Light User</v>
      </c>
    </row>
    <row r="326" spans="1:14" x14ac:dyDescent="0.25">
      <c r="A326">
        <v>325</v>
      </c>
      <c r="B326" t="s">
        <v>17</v>
      </c>
      <c r="C326" t="s">
        <v>18</v>
      </c>
      <c r="D326">
        <v>445</v>
      </c>
      <c r="E326">
        <v>7.5</v>
      </c>
      <c r="F326">
        <v>2007</v>
      </c>
      <c r="G326">
        <v>78</v>
      </c>
      <c r="H326">
        <v>1115</v>
      </c>
      <c r="I326">
        <v>23</v>
      </c>
      <c r="J326" t="str">
        <f>IF(Table2[[#This Row],[Age]]&lt;=24, "18 - 24", IF(Table2[[#This Row],[Age]]&lt;=34, "25 - 34", IF(Table2[[#This Row],[Age]]&lt;=44, "35 - 44", IF(Table2[[#This Row],[Age]]&lt;=54, "45 - 54", "55 - 59"))))</f>
        <v>18 - 24</v>
      </c>
      <c r="K326" t="str">
        <f>IF(Table2[[#This Row],[Age]]&lt;=24, "Young Adults", IF(Table2[[#This Row],[Age]]&lt;=34, "Early Career", IF(Table2[[#This Row],[Age]]&lt;=44, "Mid Career", IF(Table2[[#This Row],[Age]]&lt;=54, "Mature Adults", "Pre-retirment"))))</f>
        <v>Young Adults</v>
      </c>
      <c r="L326" t="s">
        <v>13</v>
      </c>
      <c r="M326">
        <v>4</v>
      </c>
      <c r="N326" t="str">
        <f t="shared" si="5"/>
        <v>Heavy User</v>
      </c>
    </row>
    <row r="327" spans="1:14" x14ac:dyDescent="0.25">
      <c r="A327">
        <v>326</v>
      </c>
      <c r="B327" t="s">
        <v>14</v>
      </c>
      <c r="C327" t="s">
        <v>12</v>
      </c>
      <c r="D327">
        <v>203</v>
      </c>
      <c r="E327">
        <v>4.3</v>
      </c>
      <c r="F327">
        <v>1554</v>
      </c>
      <c r="G327">
        <v>54</v>
      </c>
      <c r="H327">
        <v>638</v>
      </c>
      <c r="I327">
        <v>25</v>
      </c>
      <c r="J327" t="str">
        <f>IF(Table2[[#This Row],[Age]]&lt;=24, "18 - 24", IF(Table2[[#This Row],[Age]]&lt;=34, "25 - 34", IF(Table2[[#This Row],[Age]]&lt;=44, "35 - 44", IF(Table2[[#This Row],[Age]]&lt;=54, "45 - 54", "55 - 59"))))</f>
        <v>25 - 34</v>
      </c>
      <c r="K327" t="str">
        <f>IF(Table2[[#This Row],[Age]]&lt;=24, "Young Adults", IF(Table2[[#This Row],[Age]]&lt;=34, "Early Career", IF(Table2[[#This Row],[Age]]&lt;=44, "Mid Career", IF(Table2[[#This Row],[Age]]&lt;=54, "Mature Adults", "Pre-retirment"))))</f>
        <v>Early Career</v>
      </c>
      <c r="L327" t="s">
        <v>15</v>
      </c>
      <c r="M327">
        <v>3</v>
      </c>
      <c r="N327" t="str">
        <f t="shared" si="5"/>
        <v>Moderate User</v>
      </c>
    </row>
    <row r="328" spans="1:14" x14ac:dyDescent="0.25">
      <c r="A328">
        <v>327</v>
      </c>
      <c r="B328" t="s">
        <v>19</v>
      </c>
      <c r="C328" t="s">
        <v>12</v>
      </c>
      <c r="D328">
        <v>199</v>
      </c>
      <c r="E328">
        <v>6</v>
      </c>
      <c r="F328">
        <v>1707</v>
      </c>
      <c r="G328">
        <v>57</v>
      </c>
      <c r="H328">
        <v>881</v>
      </c>
      <c r="I328">
        <v>55</v>
      </c>
      <c r="J328" t="str">
        <f>IF(Table2[[#This Row],[Age]]&lt;=24, "18 - 24", IF(Table2[[#This Row],[Age]]&lt;=34, "25 - 34", IF(Table2[[#This Row],[Age]]&lt;=44, "35 - 44", IF(Table2[[#This Row],[Age]]&lt;=54, "45 - 54", "55 - 59"))))</f>
        <v>55 - 59</v>
      </c>
      <c r="K328" t="str">
        <f>IF(Table2[[#This Row],[Age]]&lt;=24, "Young Adults", IF(Table2[[#This Row],[Age]]&lt;=34, "Early Career", IF(Table2[[#This Row],[Age]]&lt;=44, "Mid Career", IF(Table2[[#This Row],[Age]]&lt;=54, "Mature Adults", "Pre-retirment"))))</f>
        <v>Pre-retirment</v>
      </c>
      <c r="L328" t="s">
        <v>13</v>
      </c>
      <c r="M328">
        <v>3</v>
      </c>
      <c r="N328" t="str">
        <f t="shared" si="5"/>
        <v>Moderate User</v>
      </c>
    </row>
    <row r="329" spans="1:14" x14ac:dyDescent="0.25">
      <c r="A329">
        <v>328</v>
      </c>
      <c r="B329" t="s">
        <v>14</v>
      </c>
      <c r="C329" t="s">
        <v>12</v>
      </c>
      <c r="D329">
        <v>48</v>
      </c>
      <c r="E329">
        <v>2</v>
      </c>
      <c r="F329">
        <v>574</v>
      </c>
      <c r="G329">
        <v>18</v>
      </c>
      <c r="H329">
        <v>127</v>
      </c>
      <c r="I329">
        <v>24</v>
      </c>
      <c r="J329" t="str">
        <f>IF(Table2[[#This Row],[Age]]&lt;=24, "18 - 24", IF(Table2[[#This Row],[Age]]&lt;=34, "25 - 34", IF(Table2[[#This Row],[Age]]&lt;=44, "35 - 44", IF(Table2[[#This Row],[Age]]&lt;=54, "45 - 54", "55 - 59"))))</f>
        <v>18 - 24</v>
      </c>
      <c r="K329" t="str">
        <f>IF(Table2[[#This Row],[Age]]&lt;=24, "Young Adults", IF(Table2[[#This Row],[Age]]&lt;=34, "Early Career", IF(Table2[[#This Row],[Age]]&lt;=44, "Mid Career", IF(Table2[[#This Row],[Age]]&lt;=54, "Mature Adults", "Pre-retirment"))))</f>
        <v>Young Adults</v>
      </c>
      <c r="L329" t="s">
        <v>15</v>
      </c>
      <c r="M329">
        <v>1</v>
      </c>
      <c r="N329" t="str">
        <f t="shared" si="5"/>
        <v>Light User</v>
      </c>
    </row>
    <row r="330" spans="1:14" x14ac:dyDescent="0.25">
      <c r="A330">
        <v>329</v>
      </c>
      <c r="B330" t="s">
        <v>14</v>
      </c>
      <c r="C330" t="s">
        <v>12</v>
      </c>
      <c r="D330">
        <v>88</v>
      </c>
      <c r="E330">
        <v>1.6</v>
      </c>
      <c r="F330">
        <v>420</v>
      </c>
      <c r="G330">
        <v>12</v>
      </c>
      <c r="H330">
        <v>274</v>
      </c>
      <c r="I330">
        <v>31</v>
      </c>
      <c r="J330" t="str">
        <f>IF(Table2[[#This Row],[Age]]&lt;=24, "18 - 24", IF(Table2[[#This Row],[Age]]&lt;=34, "25 - 34", IF(Table2[[#This Row],[Age]]&lt;=44, "35 - 44", IF(Table2[[#This Row],[Age]]&lt;=54, "45 - 54", "55 - 59"))))</f>
        <v>25 - 34</v>
      </c>
      <c r="K330" t="str">
        <f>IF(Table2[[#This Row],[Age]]&lt;=24, "Young Adults", IF(Table2[[#This Row],[Age]]&lt;=34, "Early Career", IF(Table2[[#This Row],[Age]]&lt;=44, "Mid Career", IF(Table2[[#This Row],[Age]]&lt;=54, "Mature Adults", "Pre-retirment"))))</f>
        <v>Early Career</v>
      </c>
      <c r="L330" t="s">
        <v>15</v>
      </c>
      <c r="M330">
        <v>1</v>
      </c>
      <c r="N330" t="str">
        <f t="shared" si="5"/>
        <v>Light User</v>
      </c>
    </row>
    <row r="331" spans="1:14" x14ac:dyDescent="0.25">
      <c r="A331">
        <v>330</v>
      </c>
      <c r="B331" t="s">
        <v>17</v>
      </c>
      <c r="C331" t="s">
        <v>18</v>
      </c>
      <c r="D331">
        <v>541</v>
      </c>
      <c r="E331">
        <v>8.3000000000000007</v>
      </c>
      <c r="F331">
        <v>2865</v>
      </c>
      <c r="G331">
        <v>89</v>
      </c>
      <c r="H331">
        <v>1820</v>
      </c>
      <c r="I331">
        <v>42</v>
      </c>
      <c r="J331" t="str">
        <f>IF(Table2[[#This Row],[Age]]&lt;=24, "18 - 24", IF(Table2[[#This Row],[Age]]&lt;=34, "25 - 34", IF(Table2[[#This Row],[Age]]&lt;=44, "35 - 44", IF(Table2[[#This Row],[Age]]&lt;=54, "45 - 54", "55 - 59"))))</f>
        <v>35 - 44</v>
      </c>
      <c r="K331" t="str">
        <f>IF(Table2[[#This Row],[Age]]&lt;=24, "Young Adults", IF(Table2[[#This Row],[Age]]&lt;=34, "Early Career", IF(Table2[[#This Row],[Age]]&lt;=44, "Mid Career", IF(Table2[[#This Row],[Age]]&lt;=54, "Mature Adults", "Pre-retirment"))))</f>
        <v>Mid Career</v>
      </c>
      <c r="L331" t="s">
        <v>15</v>
      </c>
      <c r="M331">
        <v>5</v>
      </c>
      <c r="N331" t="str">
        <f t="shared" si="5"/>
        <v>Heavy User</v>
      </c>
    </row>
    <row r="332" spans="1:14" x14ac:dyDescent="0.25">
      <c r="A332">
        <v>331</v>
      </c>
      <c r="B332" t="s">
        <v>11</v>
      </c>
      <c r="C332" t="s">
        <v>12</v>
      </c>
      <c r="D332">
        <v>233</v>
      </c>
      <c r="E332">
        <v>4.5999999999999996</v>
      </c>
      <c r="F332">
        <v>1534</v>
      </c>
      <c r="G332">
        <v>49</v>
      </c>
      <c r="H332">
        <v>796</v>
      </c>
      <c r="I332">
        <v>21</v>
      </c>
      <c r="J332" t="str">
        <f>IF(Table2[[#This Row],[Age]]&lt;=24, "18 - 24", IF(Table2[[#This Row],[Age]]&lt;=34, "25 - 34", IF(Table2[[#This Row],[Age]]&lt;=44, "35 - 44", IF(Table2[[#This Row],[Age]]&lt;=54, "45 - 54", "55 - 59"))))</f>
        <v>18 - 24</v>
      </c>
      <c r="K332" t="str">
        <f>IF(Table2[[#This Row],[Age]]&lt;=24, "Young Adults", IF(Table2[[#This Row],[Age]]&lt;=34, "Early Career", IF(Table2[[#This Row],[Age]]&lt;=44, "Mid Career", IF(Table2[[#This Row],[Age]]&lt;=54, "Mature Adults", "Pre-retirment"))))</f>
        <v>Young Adults</v>
      </c>
      <c r="L332" t="s">
        <v>15</v>
      </c>
      <c r="M332">
        <v>3</v>
      </c>
      <c r="N332" t="str">
        <f t="shared" si="5"/>
        <v>Moderate User</v>
      </c>
    </row>
    <row r="333" spans="1:14" x14ac:dyDescent="0.25">
      <c r="A333">
        <v>332</v>
      </c>
      <c r="B333" t="s">
        <v>17</v>
      </c>
      <c r="C333" t="s">
        <v>18</v>
      </c>
      <c r="D333">
        <v>176</v>
      </c>
      <c r="E333">
        <v>3.8</v>
      </c>
      <c r="F333">
        <v>727</v>
      </c>
      <c r="G333">
        <v>36</v>
      </c>
      <c r="H333">
        <v>362</v>
      </c>
      <c r="I333">
        <v>47</v>
      </c>
      <c r="J333" t="str">
        <f>IF(Table2[[#This Row],[Age]]&lt;=24, "18 - 24", IF(Table2[[#This Row],[Age]]&lt;=34, "25 - 34", IF(Table2[[#This Row],[Age]]&lt;=44, "35 - 44", IF(Table2[[#This Row],[Age]]&lt;=54, "45 - 54", "55 - 59"))))</f>
        <v>45 - 54</v>
      </c>
      <c r="K333" t="str">
        <f>IF(Table2[[#This Row],[Age]]&lt;=24, "Young Adults", IF(Table2[[#This Row],[Age]]&lt;=34, "Early Career", IF(Table2[[#This Row],[Age]]&lt;=44, "Mid Career", IF(Table2[[#This Row],[Age]]&lt;=54, "Mature Adults", "Pre-retirment"))))</f>
        <v>Mature Adults</v>
      </c>
      <c r="L333" t="s">
        <v>15</v>
      </c>
      <c r="M333">
        <v>2</v>
      </c>
      <c r="N333" t="str">
        <f t="shared" si="5"/>
        <v>Light User</v>
      </c>
    </row>
    <row r="334" spans="1:14" x14ac:dyDescent="0.25">
      <c r="A334">
        <v>333</v>
      </c>
      <c r="B334" t="s">
        <v>14</v>
      </c>
      <c r="C334" t="s">
        <v>12</v>
      </c>
      <c r="D334">
        <v>191</v>
      </c>
      <c r="E334">
        <v>6</v>
      </c>
      <c r="F334">
        <v>1762</v>
      </c>
      <c r="G334">
        <v>45</v>
      </c>
      <c r="H334">
        <v>904</v>
      </c>
      <c r="I334">
        <v>54</v>
      </c>
      <c r="J334" t="str">
        <f>IF(Table2[[#This Row],[Age]]&lt;=24, "18 - 24", IF(Table2[[#This Row],[Age]]&lt;=34, "25 - 34", IF(Table2[[#This Row],[Age]]&lt;=44, "35 - 44", IF(Table2[[#This Row],[Age]]&lt;=54, "45 - 54", "55 - 59"))))</f>
        <v>45 - 54</v>
      </c>
      <c r="K334" t="str">
        <f>IF(Table2[[#This Row],[Age]]&lt;=24, "Young Adults", IF(Table2[[#This Row],[Age]]&lt;=34, "Early Career", IF(Table2[[#This Row],[Age]]&lt;=44, "Mid Career", IF(Table2[[#This Row],[Age]]&lt;=54, "Mature Adults", "Pre-retirment"))))</f>
        <v>Mature Adults</v>
      </c>
      <c r="L334" t="s">
        <v>13</v>
      </c>
      <c r="M334">
        <v>3</v>
      </c>
      <c r="N334" t="str">
        <f t="shared" si="5"/>
        <v>Moderate User</v>
      </c>
    </row>
    <row r="335" spans="1:14" x14ac:dyDescent="0.25">
      <c r="A335">
        <v>334</v>
      </c>
      <c r="B335" t="s">
        <v>11</v>
      </c>
      <c r="C335" t="s">
        <v>12</v>
      </c>
      <c r="D335">
        <v>461</v>
      </c>
      <c r="E335">
        <v>7.5</v>
      </c>
      <c r="F335">
        <v>2001</v>
      </c>
      <c r="G335">
        <v>69</v>
      </c>
      <c r="H335">
        <v>1324</v>
      </c>
      <c r="I335">
        <v>34</v>
      </c>
      <c r="J335" t="str">
        <f>IF(Table2[[#This Row],[Age]]&lt;=24, "18 - 24", IF(Table2[[#This Row],[Age]]&lt;=34, "25 - 34", IF(Table2[[#This Row],[Age]]&lt;=44, "35 - 44", IF(Table2[[#This Row],[Age]]&lt;=54, "45 - 54", "55 - 59"))))</f>
        <v>25 - 34</v>
      </c>
      <c r="K335" t="str">
        <f>IF(Table2[[#This Row],[Age]]&lt;=24, "Young Adults", IF(Table2[[#This Row],[Age]]&lt;=34, "Early Career", IF(Table2[[#This Row],[Age]]&lt;=44, "Mid Career", IF(Table2[[#This Row],[Age]]&lt;=54, "Mature Adults", "Pre-retirment"))))</f>
        <v>Early Career</v>
      </c>
      <c r="L335" t="s">
        <v>15</v>
      </c>
      <c r="M335">
        <v>4</v>
      </c>
      <c r="N335" t="str">
        <f t="shared" si="5"/>
        <v>Heavy User</v>
      </c>
    </row>
    <row r="336" spans="1:14" x14ac:dyDescent="0.25">
      <c r="A336">
        <v>335</v>
      </c>
      <c r="B336" t="s">
        <v>19</v>
      </c>
      <c r="C336" t="s">
        <v>12</v>
      </c>
      <c r="D336">
        <v>37</v>
      </c>
      <c r="E336">
        <v>1.5</v>
      </c>
      <c r="F336">
        <v>375</v>
      </c>
      <c r="G336">
        <v>18</v>
      </c>
      <c r="H336">
        <v>246</v>
      </c>
      <c r="I336">
        <v>46</v>
      </c>
      <c r="J336" t="str">
        <f>IF(Table2[[#This Row],[Age]]&lt;=24, "18 - 24", IF(Table2[[#This Row],[Age]]&lt;=34, "25 - 34", IF(Table2[[#This Row],[Age]]&lt;=44, "35 - 44", IF(Table2[[#This Row],[Age]]&lt;=54, "45 - 54", "55 - 59"))))</f>
        <v>45 - 54</v>
      </c>
      <c r="K336" t="str">
        <f>IF(Table2[[#This Row],[Age]]&lt;=24, "Young Adults", IF(Table2[[#This Row],[Age]]&lt;=34, "Early Career", IF(Table2[[#This Row],[Age]]&lt;=44, "Mid Career", IF(Table2[[#This Row],[Age]]&lt;=54, "Mature Adults", "Pre-retirment"))))</f>
        <v>Mature Adults</v>
      </c>
      <c r="L336" t="s">
        <v>15</v>
      </c>
      <c r="M336">
        <v>1</v>
      </c>
      <c r="N336" t="str">
        <f t="shared" si="5"/>
        <v>Light User</v>
      </c>
    </row>
    <row r="337" spans="1:14" x14ac:dyDescent="0.25">
      <c r="A337">
        <v>336</v>
      </c>
      <c r="B337" t="s">
        <v>14</v>
      </c>
      <c r="C337" t="s">
        <v>12</v>
      </c>
      <c r="D337">
        <v>531</v>
      </c>
      <c r="E337">
        <v>9.8000000000000007</v>
      </c>
      <c r="F337">
        <v>2905</v>
      </c>
      <c r="G337">
        <v>99</v>
      </c>
      <c r="H337">
        <v>1632</v>
      </c>
      <c r="I337">
        <v>45</v>
      </c>
      <c r="J337" t="str">
        <f>IF(Table2[[#This Row],[Age]]&lt;=24, "18 - 24", IF(Table2[[#This Row],[Age]]&lt;=34, "25 - 34", IF(Table2[[#This Row],[Age]]&lt;=44, "35 - 44", IF(Table2[[#This Row],[Age]]&lt;=54, "45 - 54", "55 - 59"))))</f>
        <v>45 - 54</v>
      </c>
      <c r="K337" t="str">
        <f>IF(Table2[[#This Row],[Age]]&lt;=24, "Young Adults", IF(Table2[[#This Row],[Age]]&lt;=34, "Early Career", IF(Table2[[#This Row],[Age]]&lt;=44, "Mid Career", IF(Table2[[#This Row],[Age]]&lt;=54, "Mature Adults", "Pre-retirment"))))</f>
        <v>Mature Adults</v>
      </c>
      <c r="L337" t="s">
        <v>15</v>
      </c>
      <c r="M337">
        <v>5</v>
      </c>
      <c r="N337" t="str">
        <f t="shared" si="5"/>
        <v>Heavy User</v>
      </c>
    </row>
    <row r="338" spans="1:14" x14ac:dyDescent="0.25">
      <c r="A338">
        <v>337</v>
      </c>
      <c r="B338" t="s">
        <v>19</v>
      </c>
      <c r="C338" t="s">
        <v>12</v>
      </c>
      <c r="D338">
        <v>473</v>
      </c>
      <c r="E338">
        <v>7.9</v>
      </c>
      <c r="F338">
        <v>2292</v>
      </c>
      <c r="G338">
        <v>62</v>
      </c>
      <c r="H338">
        <v>1472</v>
      </c>
      <c r="I338">
        <v>44</v>
      </c>
      <c r="J338" t="str">
        <f>IF(Table2[[#This Row],[Age]]&lt;=24, "18 - 24", IF(Table2[[#This Row],[Age]]&lt;=34, "25 - 34", IF(Table2[[#This Row],[Age]]&lt;=44, "35 - 44", IF(Table2[[#This Row],[Age]]&lt;=54, "45 - 54", "55 - 59"))))</f>
        <v>35 - 44</v>
      </c>
      <c r="K338" t="str">
        <f>IF(Table2[[#This Row],[Age]]&lt;=24, "Young Adults", IF(Table2[[#This Row],[Age]]&lt;=34, "Early Career", IF(Table2[[#This Row],[Age]]&lt;=44, "Mid Career", IF(Table2[[#This Row],[Age]]&lt;=54, "Mature Adults", "Pre-retirment"))))</f>
        <v>Mid Career</v>
      </c>
      <c r="L338" t="s">
        <v>13</v>
      </c>
      <c r="M338">
        <v>4</v>
      </c>
      <c r="N338" t="str">
        <f t="shared" si="5"/>
        <v>Heavy User</v>
      </c>
    </row>
    <row r="339" spans="1:14" x14ac:dyDescent="0.25">
      <c r="A339">
        <v>338</v>
      </c>
      <c r="B339" t="s">
        <v>19</v>
      </c>
      <c r="C339" t="s">
        <v>12</v>
      </c>
      <c r="D339">
        <v>30</v>
      </c>
      <c r="E339">
        <v>1.3</v>
      </c>
      <c r="F339">
        <v>561</v>
      </c>
      <c r="G339">
        <v>15</v>
      </c>
      <c r="H339">
        <v>252</v>
      </c>
      <c r="I339">
        <v>34</v>
      </c>
      <c r="J339" t="str">
        <f>IF(Table2[[#This Row],[Age]]&lt;=24, "18 - 24", IF(Table2[[#This Row],[Age]]&lt;=34, "25 - 34", IF(Table2[[#This Row],[Age]]&lt;=44, "35 - 44", IF(Table2[[#This Row],[Age]]&lt;=54, "45 - 54", "55 - 59"))))</f>
        <v>25 - 34</v>
      </c>
      <c r="K339" t="str">
        <f>IF(Table2[[#This Row],[Age]]&lt;=24, "Young Adults", IF(Table2[[#This Row],[Age]]&lt;=34, "Early Career", IF(Table2[[#This Row],[Age]]&lt;=44, "Mid Career", IF(Table2[[#This Row],[Age]]&lt;=54, "Mature Adults", "Pre-retirment"))))</f>
        <v>Early Career</v>
      </c>
      <c r="L339" t="s">
        <v>13</v>
      </c>
      <c r="M339">
        <v>1</v>
      </c>
      <c r="N339" t="str">
        <f t="shared" si="5"/>
        <v>Light User</v>
      </c>
    </row>
    <row r="340" spans="1:14" x14ac:dyDescent="0.25">
      <c r="A340">
        <v>339</v>
      </c>
      <c r="B340" t="s">
        <v>17</v>
      </c>
      <c r="C340" t="s">
        <v>18</v>
      </c>
      <c r="D340">
        <v>306</v>
      </c>
      <c r="E340">
        <v>6.1</v>
      </c>
      <c r="F340">
        <v>2267</v>
      </c>
      <c r="G340">
        <v>70</v>
      </c>
      <c r="H340">
        <v>1449</v>
      </c>
      <c r="I340">
        <v>46</v>
      </c>
      <c r="J340" t="str">
        <f>IF(Table2[[#This Row],[Age]]&lt;=24, "18 - 24", IF(Table2[[#This Row],[Age]]&lt;=34, "25 - 34", IF(Table2[[#This Row],[Age]]&lt;=44, "35 - 44", IF(Table2[[#This Row],[Age]]&lt;=54, "45 - 54", "55 - 59"))))</f>
        <v>45 - 54</v>
      </c>
      <c r="K340" t="str">
        <f>IF(Table2[[#This Row],[Age]]&lt;=24, "Young Adults", IF(Table2[[#This Row],[Age]]&lt;=34, "Early Career", IF(Table2[[#This Row],[Age]]&lt;=44, "Mid Career", IF(Table2[[#This Row],[Age]]&lt;=54, "Mature Adults", "Pre-retirment"))))</f>
        <v>Mature Adults</v>
      </c>
      <c r="L340" t="s">
        <v>13</v>
      </c>
      <c r="M340">
        <v>4</v>
      </c>
      <c r="N340" t="str">
        <f t="shared" si="5"/>
        <v>Heavy User</v>
      </c>
    </row>
    <row r="341" spans="1:14" x14ac:dyDescent="0.25">
      <c r="A341">
        <v>340</v>
      </c>
      <c r="B341" t="s">
        <v>17</v>
      </c>
      <c r="C341" t="s">
        <v>18</v>
      </c>
      <c r="D341">
        <v>64</v>
      </c>
      <c r="E341">
        <v>1.2</v>
      </c>
      <c r="F341">
        <v>590</v>
      </c>
      <c r="G341">
        <v>13</v>
      </c>
      <c r="H341">
        <v>155</v>
      </c>
      <c r="I341">
        <v>30</v>
      </c>
      <c r="J341" t="str">
        <f>IF(Table2[[#This Row],[Age]]&lt;=24, "18 - 24", IF(Table2[[#This Row],[Age]]&lt;=34, "25 - 34", IF(Table2[[#This Row],[Age]]&lt;=44, "35 - 44", IF(Table2[[#This Row],[Age]]&lt;=54, "45 - 54", "55 - 59"))))</f>
        <v>25 - 34</v>
      </c>
      <c r="K341" t="str">
        <f>IF(Table2[[#This Row],[Age]]&lt;=24, "Young Adults", IF(Table2[[#This Row],[Age]]&lt;=34, "Early Career", IF(Table2[[#This Row],[Age]]&lt;=44, "Mid Career", IF(Table2[[#This Row],[Age]]&lt;=54, "Mature Adults", "Pre-retirment"))))</f>
        <v>Early Career</v>
      </c>
      <c r="L341" t="s">
        <v>13</v>
      </c>
      <c r="M341">
        <v>1</v>
      </c>
      <c r="N341" t="str">
        <f t="shared" si="5"/>
        <v>Light User</v>
      </c>
    </row>
    <row r="342" spans="1:14" x14ac:dyDescent="0.25">
      <c r="A342">
        <v>341</v>
      </c>
      <c r="B342" t="s">
        <v>17</v>
      </c>
      <c r="C342" t="s">
        <v>18</v>
      </c>
      <c r="D342">
        <v>75</v>
      </c>
      <c r="E342">
        <v>1</v>
      </c>
      <c r="F342">
        <v>435</v>
      </c>
      <c r="G342">
        <v>13</v>
      </c>
      <c r="H342">
        <v>223</v>
      </c>
      <c r="I342">
        <v>43</v>
      </c>
      <c r="J342" t="str">
        <f>IF(Table2[[#This Row],[Age]]&lt;=24, "18 - 24", IF(Table2[[#This Row],[Age]]&lt;=34, "25 - 34", IF(Table2[[#This Row],[Age]]&lt;=44, "35 - 44", IF(Table2[[#This Row],[Age]]&lt;=54, "45 - 54", "55 - 59"))))</f>
        <v>35 - 44</v>
      </c>
      <c r="K342" t="str">
        <f>IF(Table2[[#This Row],[Age]]&lt;=24, "Young Adults", IF(Table2[[#This Row],[Age]]&lt;=34, "Early Career", IF(Table2[[#This Row],[Age]]&lt;=44, "Mid Career", IF(Table2[[#This Row],[Age]]&lt;=54, "Mature Adults", "Pre-retirment"))))</f>
        <v>Mid Career</v>
      </c>
      <c r="L342" t="s">
        <v>13</v>
      </c>
      <c r="M342">
        <v>1</v>
      </c>
      <c r="N342" t="str">
        <f t="shared" si="5"/>
        <v>Light User</v>
      </c>
    </row>
    <row r="343" spans="1:14" x14ac:dyDescent="0.25">
      <c r="A343">
        <v>342</v>
      </c>
      <c r="B343" t="s">
        <v>17</v>
      </c>
      <c r="C343" t="s">
        <v>18</v>
      </c>
      <c r="D343">
        <v>597</v>
      </c>
      <c r="E343">
        <v>10.3</v>
      </c>
      <c r="F343">
        <v>2718</v>
      </c>
      <c r="G343">
        <v>90</v>
      </c>
      <c r="H343">
        <v>1863</v>
      </c>
      <c r="I343">
        <v>26</v>
      </c>
      <c r="J343" t="str">
        <f>IF(Table2[[#This Row],[Age]]&lt;=24, "18 - 24", IF(Table2[[#This Row],[Age]]&lt;=34, "25 - 34", IF(Table2[[#This Row],[Age]]&lt;=44, "35 - 44", IF(Table2[[#This Row],[Age]]&lt;=54, "45 - 54", "55 - 59"))))</f>
        <v>25 - 34</v>
      </c>
      <c r="K343" t="str">
        <f>IF(Table2[[#This Row],[Age]]&lt;=24, "Young Adults", IF(Table2[[#This Row],[Age]]&lt;=34, "Early Career", IF(Table2[[#This Row],[Age]]&lt;=44, "Mid Career", IF(Table2[[#This Row],[Age]]&lt;=54, "Mature Adults", "Pre-retirment"))))</f>
        <v>Early Career</v>
      </c>
      <c r="L343" t="s">
        <v>15</v>
      </c>
      <c r="M343">
        <v>5</v>
      </c>
      <c r="N343" t="str">
        <f t="shared" si="5"/>
        <v>Heavy User</v>
      </c>
    </row>
    <row r="344" spans="1:14" x14ac:dyDescent="0.25">
      <c r="A344">
        <v>343</v>
      </c>
      <c r="B344" t="s">
        <v>17</v>
      </c>
      <c r="C344" t="s">
        <v>18</v>
      </c>
      <c r="D344">
        <v>529</v>
      </c>
      <c r="E344">
        <v>10.5</v>
      </c>
      <c r="F344">
        <v>2971</v>
      </c>
      <c r="G344">
        <v>87</v>
      </c>
      <c r="H344">
        <v>1683</v>
      </c>
      <c r="I344">
        <v>56</v>
      </c>
      <c r="J344" t="str">
        <f>IF(Table2[[#This Row],[Age]]&lt;=24, "18 - 24", IF(Table2[[#This Row],[Age]]&lt;=34, "25 - 34", IF(Table2[[#This Row],[Age]]&lt;=44, "35 - 44", IF(Table2[[#This Row],[Age]]&lt;=54, "45 - 54", "55 - 59"))))</f>
        <v>55 - 59</v>
      </c>
      <c r="K344" t="str">
        <f>IF(Table2[[#This Row],[Age]]&lt;=24, "Young Adults", IF(Table2[[#This Row],[Age]]&lt;=34, "Early Career", IF(Table2[[#This Row],[Age]]&lt;=44, "Mid Career", IF(Table2[[#This Row],[Age]]&lt;=54, "Mature Adults", "Pre-retirment"))))</f>
        <v>Pre-retirment</v>
      </c>
      <c r="L344" t="s">
        <v>13</v>
      </c>
      <c r="M344">
        <v>5</v>
      </c>
      <c r="N344" t="str">
        <f t="shared" si="5"/>
        <v>Heavy User</v>
      </c>
    </row>
    <row r="345" spans="1:14" x14ac:dyDescent="0.25">
      <c r="A345">
        <v>344</v>
      </c>
      <c r="B345" t="s">
        <v>17</v>
      </c>
      <c r="C345" t="s">
        <v>18</v>
      </c>
      <c r="D345">
        <v>290</v>
      </c>
      <c r="E345">
        <v>6</v>
      </c>
      <c r="F345">
        <v>1533</v>
      </c>
      <c r="G345">
        <v>54</v>
      </c>
      <c r="H345">
        <v>645</v>
      </c>
      <c r="I345">
        <v>57</v>
      </c>
      <c r="J345" t="str">
        <f>IF(Table2[[#This Row],[Age]]&lt;=24, "18 - 24", IF(Table2[[#This Row],[Age]]&lt;=34, "25 - 34", IF(Table2[[#This Row],[Age]]&lt;=44, "35 - 44", IF(Table2[[#This Row],[Age]]&lt;=54, "45 - 54", "55 - 59"))))</f>
        <v>55 - 59</v>
      </c>
      <c r="K345" t="str">
        <f>IF(Table2[[#This Row],[Age]]&lt;=24, "Young Adults", IF(Table2[[#This Row],[Age]]&lt;=34, "Early Career", IF(Table2[[#This Row],[Age]]&lt;=44, "Mid Career", IF(Table2[[#This Row],[Age]]&lt;=54, "Mature Adults", "Pre-retirment"))))</f>
        <v>Pre-retirment</v>
      </c>
      <c r="L345" t="s">
        <v>15</v>
      </c>
      <c r="M345">
        <v>3</v>
      </c>
      <c r="N345" t="str">
        <f t="shared" si="5"/>
        <v>Moderate User</v>
      </c>
    </row>
    <row r="346" spans="1:14" x14ac:dyDescent="0.25">
      <c r="A346">
        <v>345</v>
      </c>
      <c r="B346" t="s">
        <v>17</v>
      </c>
      <c r="C346" t="s">
        <v>18</v>
      </c>
      <c r="D346">
        <v>256</v>
      </c>
      <c r="E346">
        <v>5.8</v>
      </c>
      <c r="F346">
        <v>1309</v>
      </c>
      <c r="G346">
        <v>52</v>
      </c>
      <c r="H346">
        <v>840</v>
      </c>
      <c r="I346">
        <v>43</v>
      </c>
      <c r="J346" t="str">
        <f>IF(Table2[[#This Row],[Age]]&lt;=24, "18 - 24", IF(Table2[[#This Row],[Age]]&lt;=34, "25 - 34", IF(Table2[[#This Row],[Age]]&lt;=44, "35 - 44", IF(Table2[[#This Row],[Age]]&lt;=54, "45 - 54", "55 - 59"))))</f>
        <v>35 - 44</v>
      </c>
      <c r="K346" t="str">
        <f>IF(Table2[[#This Row],[Age]]&lt;=24, "Young Adults", IF(Table2[[#This Row],[Age]]&lt;=34, "Early Career", IF(Table2[[#This Row],[Age]]&lt;=44, "Mid Career", IF(Table2[[#This Row],[Age]]&lt;=54, "Mature Adults", "Pre-retirment"))))</f>
        <v>Mid Career</v>
      </c>
      <c r="L346" t="s">
        <v>13</v>
      </c>
      <c r="M346">
        <v>3</v>
      </c>
      <c r="N346" t="str">
        <f t="shared" si="5"/>
        <v>Moderate User</v>
      </c>
    </row>
    <row r="347" spans="1:14" x14ac:dyDescent="0.25">
      <c r="A347">
        <v>346</v>
      </c>
      <c r="B347" t="s">
        <v>17</v>
      </c>
      <c r="C347" t="s">
        <v>18</v>
      </c>
      <c r="D347">
        <v>308</v>
      </c>
      <c r="E347">
        <v>7.7</v>
      </c>
      <c r="F347">
        <v>1974</v>
      </c>
      <c r="G347">
        <v>73</v>
      </c>
      <c r="H347">
        <v>1431</v>
      </c>
      <c r="I347">
        <v>37</v>
      </c>
      <c r="J347" t="str">
        <f>IF(Table2[[#This Row],[Age]]&lt;=24, "18 - 24", IF(Table2[[#This Row],[Age]]&lt;=34, "25 - 34", IF(Table2[[#This Row],[Age]]&lt;=44, "35 - 44", IF(Table2[[#This Row],[Age]]&lt;=54, "45 - 54", "55 - 59"))))</f>
        <v>35 - 44</v>
      </c>
      <c r="K347" t="str">
        <f>IF(Table2[[#This Row],[Age]]&lt;=24, "Young Adults", IF(Table2[[#This Row],[Age]]&lt;=34, "Early Career", IF(Table2[[#This Row],[Age]]&lt;=44, "Mid Career", IF(Table2[[#This Row],[Age]]&lt;=54, "Mature Adults", "Pre-retirment"))))</f>
        <v>Mid Career</v>
      </c>
      <c r="L347" t="s">
        <v>15</v>
      </c>
      <c r="M347">
        <v>4</v>
      </c>
      <c r="N347" t="str">
        <f t="shared" si="5"/>
        <v>Heavy User</v>
      </c>
    </row>
    <row r="348" spans="1:14" x14ac:dyDescent="0.25">
      <c r="A348">
        <v>347</v>
      </c>
      <c r="B348" t="s">
        <v>14</v>
      </c>
      <c r="C348" t="s">
        <v>12</v>
      </c>
      <c r="D348">
        <v>156</v>
      </c>
      <c r="E348">
        <v>3.3</v>
      </c>
      <c r="F348">
        <v>1020</v>
      </c>
      <c r="G348">
        <v>38</v>
      </c>
      <c r="H348">
        <v>447</v>
      </c>
      <c r="I348">
        <v>57</v>
      </c>
      <c r="J348" t="str">
        <f>IF(Table2[[#This Row],[Age]]&lt;=24, "18 - 24", IF(Table2[[#This Row],[Age]]&lt;=34, "25 - 34", IF(Table2[[#This Row],[Age]]&lt;=44, "35 - 44", IF(Table2[[#This Row],[Age]]&lt;=54, "45 - 54", "55 - 59"))))</f>
        <v>55 - 59</v>
      </c>
      <c r="K348" t="str">
        <f>IF(Table2[[#This Row],[Age]]&lt;=24, "Young Adults", IF(Table2[[#This Row],[Age]]&lt;=34, "Early Career", IF(Table2[[#This Row],[Age]]&lt;=44, "Mid Career", IF(Table2[[#This Row],[Age]]&lt;=54, "Mature Adults", "Pre-retirment"))))</f>
        <v>Pre-retirment</v>
      </c>
      <c r="L348" t="s">
        <v>15</v>
      </c>
      <c r="M348">
        <v>2</v>
      </c>
      <c r="N348" t="str">
        <f t="shared" si="5"/>
        <v>Light User</v>
      </c>
    </row>
    <row r="349" spans="1:14" x14ac:dyDescent="0.25">
      <c r="A349">
        <v>348</v>
      </c>
      <c r="B349" t="s">
        <v>19</v>
      </c>
      <c r="C349" t="s">
        <v>12</v>
      </c>
      <c r="D349">
        <v>62</v>
      </c>
      <c r="E349">
        <v>1.4</v>
      </c>
      <c r="F349">
        <v>542</v>
      </c>
      <c r="G349">
        <v>18</v>
      </c>
      <c r="H349">
        <v>266</v>
      </c>
      <c r="I349">
        <v>46</v>
      </c>
      <c r="J349" t="str">
        <f>IF(Table2[[#This Row],[Age]]&lt;=24, "18 - 24", IF(Table2[[#This Row],[Age]]&lt;=34, "25 - 34", IF(Table2[[#This Row],[Age]]&lt;=44, "35 - 44", IF(Table2[[#This Row],[Age]]&lt;=54, "45 - 54", "55 - 59"))))</f>
        <v>45 - 54</v>
      </c>
      <c r="K349" t="str">
        <f>IF(Table2[[#This Row],[Age]]&lt;=24, "Young Adults", IF(Table2[[#This Row],[Age]]&lt;=34, "Early Career", IF(Table2[[#This Row],[Age]]&lt;=44, "Mid Career", IF(Table2[[#This Row],[Age]]&lt;=54, "Mature Adults", "Pre-retirment"))))</f>
        <v>Mature Adults</v>
      </c>
      <c r="L349" t="s">
        <v>13</v>
      </c>
      <c r="M349">
        <v>1</v>
      </c>
      <c r="N349" t="str">
        <f t="shared" si="5"/>
        <v>Light User</v>
      </c>
    </row>
    <row r="350" spans="1:14" x14ac:dyDescent="0.25">
      <c r="A350">
        <v>349</v>
      </c>
      <c r="B350" t="s">
        <v>11</v>
      </c>
      <c r="C350" t="s">
        <v>12</v>
      </c>
      <c r="D350">
        <v>156</v>
      </c>
      <c r="E350">
        <v>3.8</v>
      </c>
      <c r="F350">
        <v>866</v>
      </c>
      <c r="G350">
        <v>34</v>
      </c>
      <c r="H350">
        <v>510</v>
      </c>
      <c r="I350">
        <v>26</v>
      </c>
      <c r="J350" t="str">
        <f>IF(Table2[[#This Row],[Age]]&lt;=24, "18 - 24", IF(Table2[[#This Row],[Age]]&lt;=34, "25 - 34", IF(Table2[[#This Row],[Age]]&lt;=44, "35 - 44", IF(Table2[[#This Row],[Age]]&lt;=54, "45 - 54", "55 - 59"))))</f>
        <v>25 - 34</v>
      </c>
      <c r="K350" t="str">
        <f>IF(Table2[[#This Row],[Age]]&lt;=24, "Young Adults", IF(Table2[[#This Row],[Age]]&lt;=34, "Early Career", IF(Table2[[#This Row],[Age]]&lt;=44, "Mid Career", IF(Table2[[#This Row],[Age]]&lt;=54, "Mature Adults", "Pre-retirment"))))</f>
        <v>Early Career</v>
      </c>
      <c r="L350" t="s">
        <v>13</v>
      </c>
      <c r="M350">
        <v>2</v>
      </c>
      <c r="N350" t="str">
        <f t="shared" si="5"/>
        <v>Light User</v>
      </c>
    </row>
    <row r="351" spans="1:14" x14ac:dyDescent="0.25">
      <c r="A351">
        <v>350</v>
      </c>
      <c r="B351" t="s">
        <v>19</v>
      </c>
      <c r="C351" t="s">
        <v>12</v>
      </c>
      <c r="D351">
        <v>303</v>
      </c>
      <c r="E351">
        <v>7.4</v>
      </c>
      <c r="F351">
        <v>2314</v>
      </c>
      <c r="G351">
        <v>66</v>
      </c>
      <c r="H351">
        <v>1387</v>
      </c>
      <c r="I351">
        <v>34</v>
      </c>
      <c r="J351" t="str">
        <f>IF(Table2[[#This Row],[Age]]&lt;=24, "18 - 24", IF(Table2[[#This Row],[Age]]&lt;=34, "25 - 34", IF(Table2[[#This Row],[Age]]&lt;=44, "35 - 44", IF(Table2[[#This Row],[Age]]&lt;=54, "45 - 54", "55 - 59"))))</f>
        <v>25 - 34</v>
      </c>
      <c r="K351" t="str">
        <f>IF(Table2[[#This Row],[Age]]&lt;=24, "Young Adults", IF(Table2[[#This Row],[Age]]&lt;=34, "Early Career", IF(Table2[[#This Row],[Age]]&lt;=44, "Mid Career", IF(Table2[[#This Row],[Age]]&lt;=54, "Mature Adults", "Pre-retirment"))))</f>
        <v>Early Career</v>
      </c>
      <c r="L351" t="s">
        <v>13</v>
      </c>
      <c r="M351">
        <v>4</v>
      </c>
      <c r="N351" t="str">
        <f t="shared" si="5"/>
        <v>Heavy User</v>
      </c>
    </row>
    <row r="352" spans="1:14" x14ac:dyDescent="0.25">
      <c r="A352">
        <v>351</v>
      </c>
      <c r="B352" t="s">
        <v>19</v>
      </c>
      <c r="C352" t="s">
        <v>12</v>
      </c>
      <c r="D352">
        <v>463</v>
      </c>
      <c r="E352">
        <v>6.9</v>
      </c>
      <c r="F352">
        <v>2111</v>
      </c>
      <c r="G352">
        <v>73</v>
      </c>
      <c r="H352">
        <v>1463</v>
      </c>
      <c r="I352">
        <v>54</v>
      </c>
      <c r="J352" t="str">
        <f>IF(Table2[[#This Row],[Age]]&lt;=24, "18 - 24", IF(Table2[[#This Row],[Age]]&lt;=34, "25 - 34", IF(Table2[[#This Row],[Age]]&lt;=44, "35 - 44", IF(Table2[[#This Row],[Age]]&lt;=54, "45 - 54", "55 - 59"))))</f>
        <v>45 - 54</v>
      </c>
      <c r="K352" t="str">
        <f>IF(Table2[[#This Row],[Age]]&lt;=24, "Young Adults", IF(Table2[[#This Row],[Age]]&lt;=34, "Early Career", IF(Table2[[#This Row],[Age]]&lt;=44, "Mid Career", IF(Table2[[#This Row],[Age]]&lt;=54, "Mature Adults", "Pre-retirment"))))</f>
        <v>Mature Adults</v>
      </c>
      <c r="L352" t="s">
        <v>13</v>
      </c>
      <c r="M352">
        <v>4</v>
      </c>
      <c r="N352" t="str">
        <f t="shared" si="5"/>
        <v>Heavy User</v>
      </c>
    </row>
    <row r="353" spans="1:14" x14ac:dyDescent="0.25">
      <c r="A353">
        <v>352</v>
      </c>
      <c r="B353" t="s">
        <v>11</v>
      </c>
      <c r="C353" t="s">
        <v>12</v>
      </c>
      <c r="D353">
        <v>60</v>
      </c>
      <c r="E353">
        <v>1.5</v>
      </c>
      <c r="F353">
        <v>593</v>
      </c>
      <c r="G353">
        <v>14</v>
      </c>
      <c r="H353">
        <v>281</v>
      </c>
      <c r="I353">
        <v>35</v>
      </c>
      <c r="J353" t="str">
        <f>IF(Table2[[#This Row],[Age]]&lt;=24, "18 - 24", IF(Table2[[#This Row],[Age]]&lt;=34, "25 - 34", IF(Table2[[#This Row],[Age]]&lt;=44, "35 - 44", IF(Table2[[#This Row],[Age]]&lt;=54, "45 - 54", "55 - 59"))))</f>
        <v>35 - 44</v>
      </c>
      <c r="K353" t="str">
        <f>IF(Table2[[#This Row],[Age]]&lt;=24, "Young Adults", IF(Table2[[#This Row],[Age]]&lt;=34, "Early Career", IF(Table2[[#This Row],[Age]]&lt;=44, "Mid Career", IF(Table2[[#This Row],[Age]]&lt;=54, "Mature Adults", "Pre-retirment"))))</f>
        <v>Mid Career</v>
      </c>
      <c r="L353" t="s">
        <v>15</v>
      </c>
      <c r="M353">
        <v>1</v>
      </c>
      <c r="N353" t="str">
        <f t="shared" si="5"/>
        <v>Light User</v>
      </c>
    </row>
    <row r="354" spans="1:14" x14ac:dyDescent="0.25">
      <c r="A354">
        <v>353</v>
      </c>
      <c r="B354" t="s">
        <v>11</v>
      </c>
      <c r="C354" t="s">
        <v>12</v>
      </c>
      <c r="D354">
        <v>225</v>
      </c>
      <c r="E354">
        <v>4.5999999999999996</v>
      </c>
      <c r="F354">
        <v>1230</v>
      </c>
      <c r="G354">
        <v>52</v>
      </c>
      <c r="H354">
        <v>954</v>
      </c>
      <c r="I354">
        <v>20</v>
      </c>
      <c r="J354" t="str">
        <f>IF(Table2[[#This Row],[Age]]&lt;=24, "18 - 24", IF(Table2[[#This Row],[Age]]&lt;=34, "25 - 34", IF(Table2[[#This Row],[Age]]&lt;=44, "35 - 44", IF(Table2[[#This Row],[Age]]&lt;=54, "45 - 54", "55 - 59"))))</f>
        <v>18 - 24</v>
      </c>
      <c r="K354" t="str">
        <f>IF(Table2[[#This Row],[Age]]&lt;=24, "Young Adults", IF(Table2[[#This Row],[Age]]&lt;=34, "Early Career", IF(Table2[[#This Row],[Age]]&lt;=44, "Mid Career", IF(Table2[[#This Row],[Age]]&lt;=54, "Mature Adults", "Pre-retirment"))))</f>
        <v>Young Adults</v>
      </c>
      <c r="L354" t="s">
        <v>15</v>
      </c>
      <c r="M354">
        <v>3</v>
      </c>
      <c r="N354" t="str">
        <f t="shared" si="5"/>
        <v>Moderate User</v>
      </c>
    </row>
    <row r="355" spans="1:14" x14ac:dyDescent="0.25">
      <c r="A355">
        <v>354</v>
      </c>
      <c r="B355" t="s">
        <v>19</v>
      </c>
      <c r="C355" t="s">
        <v>12</v>
      </c>
      <c r="D355">
        <v>379</v>
      </c>
      <c r="E355">
        <v>7.5</v>
      </c>
      <c r="F355">
        <v>1823</v>
      </c>
      <c r="G355">
        <v>68</v>
      </c>
      <c r="H355">
        <v>1075</v>
      </c>
      <c r="I355">
        <v>53</v>
      </c>
      <c r="J355" t="str">
        <f>IF(Table2[[#This Row],[Age]]&lt;=24, "18 - 24", IF(Table2[[#This Row],[Age]]&lt;=34, "25 - 34", IF(Table2[[#This Row],[Age]]&lt;=44, "35 - 44", IF(Table2[[#This Row],[Age]]&lt;=54, "45 - 54", "55 - 59"))))</f>
        <v>45 - 54</v>
      </c>
      <c r="K355" t="str">
        <f>IF(Table2[[#This Row],[Age]]&lt;=24, "Young Adults", IF(Table2[[#This Row],[Age]]&lt;=34, "Early Career", IF(Table2[[#This Row],[Age]]&lt;=44, "Mid Career", IF(Table2[[#This Row],[Age]]&lt;=54, "Mature Adults", "Pre-retirment"))))</f>
        <v>Mature Adults</v>
      </c>
      <c r="L355" t="s">
        <v>15</v>
      </c>
      <c r="M355">
        <v>4</v>
      </c>
      <c r="N355" t="str">
        <f t="shared" si="5"/>
        <v>Heavy User</v>
      </c>
    </row>
    <row r="356" spans="1:14" x14ac:dyDescent="0.25">
      <c r="A356">
        <v>355</v>
      </c>
      <c r="B356" t="s">
        <v>14</v>
      </c>
      <c r="C356" t="s">
        <v>12</v>
      </c>
      <c r="D356">
        <v>53</v>
      </c>
      <c r="E356">
        <v>1.4</v>
      </c>
      <c r="F356">
        <v>455</v>
      </c>
      <c r="G356">
        <v>14</v>
      </c>
      <c r="H356">
        <v>106</v>
      </c>
      <c r="I356">
        <v>54</v>
      </c>
      <c r="J356" t="str">
        <f>IF(Table2[[#This Row],[Age]]&lt;=24, "18 - 24", IF(Table2[[#This Row],[Age]]&lt;=34, "25 - 34", IF(Table2[[#This Row],[Age]]&lt;=44, "35 - 44", IF(Table2[[#This Row],[Age]]&lt;=54, "45 - 54", "55 - 59"))))</f>
        <v>45 - 54</v>
      </c>
      <c r="K356" t="str">
        <f>IF(Table2[[#This Row],[Age]]&lt;=24, "Young Adults", IF(Table2[[#This Row],[Age]]&lt;=34, "Early Career", IF(Table2[[#This Row],[Age]]&lt;=44, "Mid Career", IF(Table2[[#This Row],[Age]]&lt;=54, "Mature Adults", "Pre-retirment"))))</f>
        <v>Mature Adults</v>
      </c>
      <c r="L356" t="s">
        <v>15</v>
      </c>
      <c r="M356">
        <v>1</v>
      </c>
      <c r="N356" t="str">
        <f t="shared" si="5"/>
        <v>Light User</v>
      </c>
    </row>
    <row r="357" spans="1:14" x14ac:dyDescent="0.25">
      <c r="A357">
        <v>356</v>
      </c>
      <c r="B357" t="s">
        <v>19</v>
      </c>
      <c r="C357" t="s">
        <v>12</v>
      </c>
      <c r="D357">
        <v>30</v>
      </c>
      <c r="E357">
        <v>1.9</v>
      </c>
      <c r="F357">
        <v>574</v>
      </c>
      <c r="G357">
        <v>19</v>
      </c>
      <c r="H357">
        <v>287</v>
      </c>
      <c r="I357">
        <v>45</v>
      </c>
      <c r="J357" t="str">
        <f>IF(Table2[[#This Row],[Age]]&lt;=24, "18 - 24", IF(Table2[[#This Row],[Age]]&lt;=34, "25 - 34", IF(Table2[[#This Row],[Age]]&lt;=44, "35 - 44", IF(Table2[[#This Row],[Age]]&lt;=54, "45 - 54", "55 - 59"))))</f>
        <v>45 - 54</v>
      </c>
      <c r="K357" t="str">
        <f>IF(Table2[[#This Row],[Age]]&lt;=24, "Young Adults", IF(Table2[[#This Row],[Age]]&lt;=34, "Early Career", IF(Table2[[#This Row],[Age]]&lt;=44, "Mid Career", IF(Table2[[#This Row],[Age]]&lt;=54, "Mature Adults", "Pre-retirment"))))</f>
        <v>Mature Adults</v>
      </c>
      <c r="L357" t="s">
        <v>13</v>
      </c>
      <c r="M357">
        <v>1</v>
      </c>
      <c r="N357" t="str">
        <f t="shared" si="5"/>
        <v>Light User</v>
      </c>
    </row>
    <row r="358" spans="1:14" x14ac:dyDescent="0.25">
      <c r="A358">
        <v>357</v>
      </c>
      <c r="B358" t="s">
        <v>17</v>
      </c>
      <c r="C358" t="s">
        <v>18</v>
      </c>
      <c r="D358">
        <v>291</v>
      </c>
      <c r="E358">
        <v>4.0999999999999996</v>
      </c>
      <c r="F358">
        <v>1326</v>
      </c>
      <c r="G358">
        <v>51</v>
      </c>
      <c r="H358">
        <v>905</v>
      </c>
      <c r="I358">
        <v>55</v>
      </c>
      <c r="J358" t="str">
        <f>IF(Table2[[#This Row],[Age]]&lt;=24, "18 - 24", IF(Table2[[#This Row],[Age]]&lt;=34, "25 - 34", IF(Table2[[#This Row],[Age]]&lt;=44, "35 - 44", IF(Table2[[#This Row],[Age]]&lt;=54, "45 - 54", "55 - 59"))))</f>
        <v>55 - 59</v>
      </c>
      <c r="K358" t="str">
        <f>IF(Table2[[#This Row],[Age]]&lt;=24, "Young Adults", IF(Table2[[#This Row],[Age]]&lt;=34, "Early Career", IF(Table2[[#This Row],[Age]]&lt;=44, "Mid Career", IF(Table2[[#This Row],[Age]]&lt;=54, "Mature Adults", "Pre-retirment"))))</f>
        <v>Pre-retirment</v>
      </c>
      <c r="L358" t="s">
        <v>15</v>
      </c>
      <c r="M358">
        <v>3</v>
      </c>
      <c r="N358" t="str">
        <f t="shared" si="5"/>
        <v>Moderate User</v>
      </c>
    </row>
    <row r="359" spans="1:14" x14ac:dyDescent="0.25">
      <c r="A359">
        <v>358</v>
      </c>
      <c r="B359" t="s">
        <v>17</v>
      </c>
      <c r="C359" t="s">
        <v>18</v>
      </c>
      <c r="D359">
        <v>488</v>
      </c>
      <c r="E359">
        <v>9.5</v>
      </c>
      <c r="F359">
        <v>2840</v>
      </c>
      <c r="G359">
        <v>92</v>
      </c>
      <c r="H359">
        <v>1986</v>
      </c>
      <c r="I359">
        <v>48</v>
      </c>
      <c r="J359" t="str">
        <f>IF(Table2[[#This Row],[Age]]&lt;=24, "18 - 24", IF(Table2[[#This Row],[Age]]&lt;=34, "25 - 34", IF(Table2[[#This Row],[Age]]&lt;=44, "35 - 44", IF(Table2[[#This Row],[Age]]&lt;=54, "45 - 54", "55 - 59"))))</f>
        <v>45 - 54</v>
      </c>
      <c r="K359" t="str">
        <f>IF(Table2[[#This Row],[Age]]&lt;=24, "Young Adults", IF(Table2[[#This Row],[Age]]&lt;=34, "Early Career", IF(Table2[[#This Row],[Age]]&lt;=44, "Mid Career", IF(Table2[[#This Row],[Age]]&lt;=54, "Mature Adults", "Pre-retirment"))))</f>
        <v>Mature Adults</v>
      </c>
      <c r="L359" t="s">
        <v>15</v>
      </c>
      <c r="M359">
        <v>5</v>
      </c>
      <c r="N359" t="str">
        <f t="shared" si="5"/>
        <v>Heavy User</v>
      </c>
    </row>
    <row r="360" spans="1:14" x14ac:dyDescent="0.25">
      <c r="A360">
        <v>359</v>
      </c>
      <c r="B360" t="s">
        <v>11</v>
      </c>
      <c r="C360" t="s">
        <v>12</v>
      </c>
      <c r="D360">
        <v>74</v>
      </c>
      <c r="E360">
        <v>2</v>
      </c>
      <c r="F360">
        <v>366</v>
      </c>
      <c r="G360">
        <v>13</v>
      </c>
      <c r="H360">
        <v>253</v>
      </c>
      <c r="I360">
        <v>44</v>
      </c>
      <c r="J360" t="str">
        <f>IF(Table2[[#This Row],[Age]]&lt;=24, "18 - 24", IF(Table2[[#This Row],[Age]]&lt;=34, "25 - 34", IF(Table2[[#This Row],[Age]]&lt;=44, "35 - 44", IF(Table2[[#This Row],[Age]]&lt;=54, "45 - 54", "55 - 59"))))</f>
        <v>35 - 44</v>
      </c>
      <c r="K360" t="str">
        <f>IF(Table2[[#This Row],[Age]]&lt;=24, "Young Adults", IF(Table2[[#This Row],[Age]]&lt;=34, "Early Career", IF(Table2[[#This Row],[Age]]&lt;=44, "Mid Career", IF(Table2[[#This Row],[Age]]&lt;=54, "Mature Adults", "Pre-retirment"))))</f>
        <v>Mid Career</v>
      </c>
      <c r="L360" t="s">
        <v>15</v>
      </c>
      <c r="M360">
        <v>1</v>
      </c>
      <c r="N360" t="str">
        <f t="shared" si="5"/>
        <v>Light User</v>
      </c>
    </row>
    <row r="361" spans="1:14" x14ac:dyDescent="0.25">
      <c r="A361">
        <v>360</v>
      </c>
      <c r="B361" t="s">
        <v>19</v>
      </c>
      <c r="C361" t="s">
        <v>12</v>
      </c>
      <c r="D361">
        <v>230</v>
      </c>
      <c r="E361">
        <v>4.5999999999999996</v>
      </c>
      <c r="F361">
        <v>1325</v>
      </c>
      <c r="G361">
        <v>55</v>
      </c>
      <c r="H361">
        <v>845</v>
      </c>
      <c r="I361">
        <v>54</v>
      </c>
      <c r="J361" t="str">
        <f>IF(Table2[[#This Row],[Age]]&lt;=24, "18 - 24", IF(Table2[[#This Row],[Age]]&lt;=34, "25 - 34", IF(Table2[[#This Row],[Age]]&lt;=44, "35 - 44", IF(Table2[[#This Row],[Age]]&lt;=54, "45 - 54", "55 - 59"))))</f>
        <v>45 - 54</v>
      </c>
      <c r="K361" t="str">
        <f>IF(Table2[[#This Row],[Age]]&lt;=24, "Young Adults", IF(Table2[[#This Row],[Age]]&lt;=34, "Early Career", IF(Table2[[#This Row],[Age]]&lt;=44, "Mid Career", IF(Table2[[#This Row],[Age]]&lt;=54, "Mature Adults", "Pre-retirment"))))</f>
        <v>Mature Adults</v>
      </c>
      <c r="L361" t="s">
        <v>15</v>
      </c>
      <c r="M361">
        <v>3</v>
      </c>
      <c r="N361" t="str">
        <f t="shared" si="5"/>
        <v>Moderate User</v>
      </c>
    </row>
    <row r="362" spans="1:14" x14ac:dyDescent="0.25">
      <c r="A362">
        <v>361</v>
      </c>
      <c r="B362" t="s">
        <v>19</v>
      </c>
      <c r="C362" t="s">
        <v>12</v>
      </c>
      <c r="D362">
        <v>517</v>
      </c>
      <c r="E362">
        <v>11.8</v>
      </c>
      <c r="F362">
        <v>2435</v>
      </c>
      <c r="G362">
        <v>86</v>
      </c>
      <c r="H362">
        <v>2208</v>
      </c>
      <c r="I362">
        <v>26</v>
      </c>
      <c r="J362" t="str">
        <f>IF(Table2[[#This Row],[Age]]&lt;=24, "18 - 24", IF(Table2[[#This Row],[Age]]&lt;=34, "25 - 34", IF(Table2[[#This Row],[Age]]&lt;=44, "35 - 44", IF(Table2[[#This Row],[Age]]&lt;=54, "45 - 54", "55 - 59"))))</f>
        <v>25 - 34</v>
      </c>
      <c r="K362" t="str">
        <f>IF(Table2[[#This Row],[Age]]&lt;=24, "Young Adults", IF(Table2[[#This Row],[Age]]&lt;=34, "Early Career", IF(Table2[[#This Row],[Age]]&lt;=44, "Mid Career", IF(Table2[[#This Row],[Age]]&lt;=54, "Mature Adults", "Pre-retirment"))))</f>
        <v>Early Career</v>
      </c>
      <c r="L362" t="s">
        <v>13</v>
      </c>
      <c r="M362">
        <v>5</v>
      </c>
      <c r="N362" t="str">
        <f t="shared" si="5"/>
        <v>Heavy User</v>
      </c>
    </row>
    <row r="363" spans="1:14" x14ac:dyDescent="0.25">
      <c r="A363">
        <v>362</v>
      </c>
      <c r="B363" t="s">
        <v>14</v>
      </c>
      <c r="C363" t="s">
        <v>12</v>
      </c>
      <c r="D363">
        <v>557</v>
      </c>
      <c r="E363">
        <v>10.4</v>
      </c>
      <c r="F363">
        <v>2900</v>
      </c>
      <c r="G363">
        <v>97</v>
      </c>
      <c r="H363">
        <v>1609</v>
      </c>
      <c r="I363">
        <v>22</v>
      </c>
      <c r="J363" t="str">
        <f>IF(Table2[[#This Row],[Age]]&lt;=24, "18 - 24", IF(Table2[[#This Row],[Age]]&lt;=34, "25 - 34", IF(Table2[[#This Row],[Age]]&lt;=44, "35 - 44", IF(Table2[[#This Row],[Age]]&lt;=54, "45 - 54", "55 - 59"))))</f>
        <v>18 - 24</v>
      </c>
      <c r="K363" t="str">
        <f>IF(Table2[[#This Row],[Age]]&lt;=24, "Young Adults", IF(Table2[[#This Row],[Age]]&lt;=34, "Early Career", IF(Table2[[#This Row],[Age]]&lt;=44, "Mid Career", IF(Table2[[#This Row],[Age]]&lt;=54, "Mature Adults", "Pre-retirment"))))</f>
        <v>Young Adults</v>
      </c>
      <c r="L363" t="s">
        <v>13</v>
      </c>
      <c r="M363">
        <v>5</v>
      </c>
      <c r="N363" t="str">
        <f t="shared" si="5"/>
        <v>Heavy User</v>
      </c>
    </row>
    <row r="364" spans="1:14" x14ac:dyDescent="0.25">
      <c r="A364">
        <v>363</v>
      </c>
      <c r="B364" t="s">
        <v>16</v>
      </c>
      <c r="C364" t="s">
        <v>12</v>
      </c>
      <c r="D364">
        <v>78</v>
      </c>
      <c r="E364">
        <v>1.5</v>
      </c>
      <c r="F364">
        <v>341</v>
      </c>
      <c r="G364">
        <v>11</v>
      </c>
      <c r="H364">
        <v>259</v>
      </c>
      <c r="I364">
        <v>38</v>
      </c>
      <c r="J364" t="str">
        <f>IF(Table2[[#This Row],[Age]]&lt;=24, "18 - 24", IF(Table2[[#This Row],[Age]]&lt;=34, "25 - 34", IF(Table2[[#This Row],[Age]]&lt;=44, "35 - 44", IF(Table2[[#This Row],[Age]]&lt;=54, "45 - 54", "55 - 59"))))</f>
        <v>35 - 44</v>
      </c>
      <c r="K364" t="str">
        <f>IF(Table2[[#This Row],[Age]]&lt;=24, "Young Adults", IF(Table2[[#This Row],[Age]]&lt;=34, "Early Career", IF(Table2[[#This Row],[Age]]&lt;=44, "Mid Career", IF(Table2[[#This Row],[Age]]&lt;=54, "Mature Adults", "Pre-retirment"))))</f>
        <v>Mid Career</v>
      </c>
      <c r="L364" t="s">
        <v>15</v>
      </c>
      <c r="M364">
        <v>1</v>
      </c>
      <c r="N364" t="str">
        <f t="shared" si="5"/>
        <v>Light User</v>
      </c>
    </row>
    <row r="365" spans="1:14" x14ac:dyDescent="0.25">
      <c r="A365">
        <v>364</v>
      </c>
      <c r="B365" t="s">
        <v>17</v>
      </c>
      <c r="C365" t="s">
        <v>18</v>
      </c>
      <c r="D365">
        <v>321</v>
      </c>
      <c r="E365">
        <v>7.9</v>
      </c>
      <c r="F365">
        <v>2159</v>
      </c>
      <c r="G365">
        <v>64</v>
      </c>
      <c r="H365">
        <v>1499</v>
      </c>
      <c r="I365">
        <v>45</v>
      </c>
      <c r="J365" t="str">
        <f>IF(Table2[[#This Row],[Age]]&lt;=24, "18 - 24", IF(Table2[[#This Row],[Age]]&lt;=34, "25 - 34", IF(Table2[[#This Row],[Age]]&lt;=44, "35 - 44", IF(Table2[[#This Row],[Age]]&lt;=54, "45 - 54", "55 - 59"))))</f>
        <v>45 - 54</v>
      </c>
      <c r="K365" t="str">
        <f>IF(Table2[[#This Row],[Age]]&lt;=24, "Young Adults", IF(Table2[[#This Row],[Age]]&lt;=34, "Early Career", IF(Table2[[#This Row],[Age]]&lt;=44, "Mid Career", IF(Table2[[#This Row],[Age]]&lt;=54, "Mature Adults", "Pre-retirment"))))</f>
        <v>Mature Adults</v>
      </c>
      <c r="L365" t="s">
        <v>13</v>
      </c>
      <c r="M365">
        <v>4</v>
      </c>
      <c r="N365" t="str">
        <f t="shared" si="5"/>
        <v>Heavy User</v>
      </c>
    </row>
    <row r="366" spans="1:14" x14ac:dyDescent="0.25">
      <c r="A366">
        <v>365</v>
      </c>
      <c r="B366" t="s">
        <v>16</v>
      </c>
      <c r="C366" t="s">
        <v>12</v>
      </c>
      <c r="D366">
        <v>579</v>
      </c>
      <c r="E366">
        <v>8.6</v>
      </c>
      <c r="F366">
        <v>2539</v>
      </c>
      <c r="G366">
        <v>84</v>
      </c>
      <c r="H366">
        <v>1935</v>
      </c>
      <c r="I366">
        <v>34</v>
      </c>
      <c r="J366" t="str">
        <f>IF(Table2[[#This Row],[Age]]&lt;=24, "18 - 24", IF(Table2[[#This Row],[Age]]&lt;=34, "25 - 34", IF(Table2[[#This Row],[Age]]&lt;=44, "35 - 44", IF(Table2[[#This Row],[Age]]&lt;=54, "45 - 54", "55 - 59"))))</f>
        <v>25 - 34</v>
      </c>
      <c r="K366" t="str">
        <f>IF(Table2[[#This Row],[Age]]&lt;=24, "Young Adults", IF(Table2[[#This Row],[Age]]&lt;=34, "Early Career", IF(Table2[[#This Row],[Age]]&lt;=44, "Mid Career", IF(Table2[[#This Row],[Age]]&lt;=54, "Mature Adults", "Pre-retirment"))))</f>
        <v>Early Career</v>
      </c>
      <c r="L366" t="s">
        <v>13</v>
      </c>
      <c r="M366">
        <v>5</v>
      </c>
      <c r="N366" t="str">
        <f t="shared" si="5"/>
        <v>Heavy User</v>
      </c>
    </row>
    <row r="367" spans="1:14" x14ac:dyDescent="0.25">
      <c r="A367">
        <v>366</v>
      </c>
      <c r="B367" t="s">
        <v>14</v>
      </c>
      <c r="C367" t="s">
        <v>12</v>
      </c>
      <c r="D367">
        <v>382</v>
      </c>
      <c r="E367">
        <v>7.2</v>
      </c>
      <c r="F367">
        <v>1965</v>
      </c>
      <c r="G367">
        <v>67</v>
      </c>
      <c r="H367">
        <v>1341</v>
      </c>
      <c r="I367">
        <v>22</v>
      </c>
      <c r="J367" t="str">
        <f>IF(Table2[[#This Row],[Age]]&lt;=24, "18 - 24", IF(Table2[[#This Row],[Age]]&lt;=34, "25 - 34", IF(Table2[[#This Row],[Age]]&lt;=44, "35 - 44", IF(Table2[[#This Row],[Age]]&lt;=54, "45 - 54", "55 - 59"))))</f>
        <v>18 - 24</v>
      </c>
      <c r="K367" t="str">
        <f>IF(Table2[[#This Row],[Age]]&lt;=24, "Young Adults", IF(Table2[[#This Row],[Age]]&lt;=34, "Early Career", IF(Table2[[#This Row],[Age]]&lt;=44, "Mid Career", IF(Table2[[#This Row],[Age]]&lt;=54, "Mature Adults", "Pre-retirment"))))</f>
        <v>Young Adults</v>
      </c>
      <c r="L367" t="s">
        <v>13</v>
      </c>
      <c r="M367">
        <v>4</v>
      </c>
      <c r="N367" t="str">
        <f t="shared" si="5"/>
        <v>Heavy User</v>
      </c>
    </row>
    <row r="368" spans="1:14" x14ac:dyDescent="0.25">
      <c r="A368">
        <v>367</v>
      </c>
      <c r="B368" t="s">
        <v>16</v>
      </c>
      <c r="C368" t="s">
        <v>12</v>
      </c>
      <c r="D368">
        <v>516</v>
      </c>
      <c r="E368">
        <v>11.6</v>
      </c>
      <c r="F368">
        <v>2464</v>
      </c>
      <c r="G368">
        <v>82</v>
      </c>
      <c r="H368">
        <v>1767</v>
      </c>
      <c r="I368">
        <v>29</v>
      </c>
      <c r="J368" t="str">
        <f>IF(Table2[[#This Row],[Age]]&lt;=24, "18 - 24", IF(Table2[[#This Row],[Age]]&lt;=34, "25 - 34", IF(Table2[[#This Row],[Age]]&lt;=44, "35 - 44", IF(Table2[[#This Row],[Age]]&lt;=54, "45 - 54", "55 - 59"))))</f>
        <v>25 - 34</v>
      </c>
      <c r="K368" t="str">
        <f>IF(Table2[[#This Row],[Age]]&lt;=24, "Young Adults", IF(Table2[[#This Row],[Age]]&lt;=34, "Early Career", IF(Table2[[#This Row],[Age]]&lt;=44, "Mid Career", IF(Table2[[#This Row],[Age]]&lt;=54, "Mature Adults", "Pre-retirment"))))</f>
        <v>Early Career</v>
      </c>
      <c r="L368" t="s">
        <v>15</v>
      </c>
      <c r="M368">
        <v>5</v>
      </c>
      <c r="N368" t="str">
        <f t="shared" si="5"/>
        <v>Heavy User</v>
      </c>
    </row>
    <row r="369" spans="1:14" x14ac:dyDescent="0.25">
      <c r="A369">
        <v>368</v>
      </c>
      <c r="B369" t="s">
        <v>14</v>
      </c>
      <c r="C369" t="s">
        <v>12</v>
      </c>
      <c r="D369">
        <v>598</v>
      </c>
      <c r="E369">
        <v>11.2</v>
      </c>
      <c r="F369">
        <v>2876</v>
      </c>
      <c r="G369">
        <v>85</v>
      </c>
      <c r="H369">
        <v>2477</v>
      </c>
      <c r="I369">
        <v>58</v>
      </c>
      <c r="J369" t="str">
        <f>IF(Table2[[#This Row],[Age]]&lt;=24, "18 - 24", IF(Table2[[#This Row],[Age]]&lt;=34, "25 - 34", IF(Table2[[#This Row],[Age]]&lt;=44, "35 - 44", IF(Table2[[#This Row],[Age]]&lt;=54, "45 - 54", "55 - 59"))))</f>
        <v>55 - 59</v>
      </c>
      <c r="K369" t="str">
        <f>IF(Table2[[#This Row],[Age]]&lt;=24, "Young Adults", IF(Table2[[#This Row],[Age]]&lt;=34, "Early Career", IF(Table2[[#This Row],[Age]]&lt;=44, "Mid Career", IF(Table2[[#This Row],[Age]]&lt;=54, "Mature Adults", "Pre-retirment"))))</f>
        <v>Pre-retirment</v>
      </c>
      <c r="L369" t="s">
        <v>15</v>
      </c>
      <c r="M369">
        <v>5</v>
      </c>
      <c r="N369" t="str">
        <f t="shared" si="5"/>
        <v>Heavy User</v>
      </c>
    </row>
    <row r="370" spans="1:14" x14ac:dyDescent="0.25">
      <c r="A370">
        <v>369</v>
      </c>
      <c r="B370" t="s">
        <v>14</v>
      </c>
      <c r="C370" t="s">
        <v>12</v>
      </c>
      <c r="D370">
        <v>102</v>
      </c>
      <c r="E370">
        <v>3.9</v>
      </c>
      <c r="F370">
        <v>747</v>
      </c>
      <c r="G370">
        <v>36</v>
      </c>
      <c r="H370">
        <v>408</v>
      </c>
      <c r="I370">
        <v>49</v>
      </c>
      <c r="J370" t="str">
        <f>IF(Table2[[#This Row],[Age]]&lt;=24, "18 - 24", IF(Table2[[#This Row],[Age]]&lt;=34, "25 - 34", IF(Table2[[#This Row],[Age]]&lt;=44, "35 - 44", IF(Table2[[#This Row],[Age]]&lt;=54, "45 - 54", "55 - 59"))))</f>
        <v>45 - 54</v>
      </c>
      <c r="K370" t="str">
        <f>IF(Table2[[#This Row],[Age]]&lt;=24, "Young Adults", IF(Table2[[#This Row],[Age]]&lt;=34, "Early Career", IF(Table2[[#This Row],[Age]]&lt;=44, "Mid Career", IF(Table2[[#This Row],[Age]]&lt;=54, "Mature Adults", "Pre-retirment"))))</f>
        <v>Mature Adults</v>
      </c>
      <c r="L370" t="s">
        <v>15</v>
      </c>
      <c r="M370">
        <v>2</v>
      </c>
      <c r="N370" t="str">
        <f t="shared" si="5"/>
        <v>Light User</v>
      </c>
    </row>
    <row r="371" spans="1:14" x14ac:dyDescent="0.25">
      <c r="A371">
        <v>370</v>
      </c>
      <c r="B371" t="s">
        <v>17</v>
      </c>
      <c r="C371" t="s">
        <v>18</v>
      </c>
      <c r="D371">
        <v>165</v>
      </c>
      <c r="E371">
        <v>2.4</v>
      </c>
      <c r="F371">
        <v>816</v>
      </c>
      <c r="G371">
        <v>35</v>
      </c>
      <c r="H371">
        <v>503</v>
      </c>
      <c r="I371">
        <v>34</v>
      </c>
      <c r="J371" t="str">
        <f>IF(Table2[[#This Row],[Age]]&lt;=24, "18 - 24", IF(Table2[[#This Row],[Age]]&lt;=34, "25 - 34", IF(Table2[[#This Row],[Age]]&lt;=44, "35 - 44", IF(Table2[[#This Row],[Age]]&lt;=54, "45 - 54", "55 - 59"))))</f>
        <v>25 - 34</v>
      </c>
      <c r="K371" t="str">
        <f>IF(Table2[[#This Row],[Age]]&lt;=24, "Young Adults", IF(Table2[[#This Row],[Age]]&lt;=34, "Early Career", IF(Table2[[#This Row],[Age]]&lt;=44, "Mid Career", IF(Table2[[#This Row],[Age]]&lt;=54, "Mature Adults", "Pre-retirment"))))</f>
        <v>Early Career</v>
      </c>
      <c r="L371" t="s">
        <v>13</v>
      </c>
      <c r="M371">
        <v>2</v>
      </c>
      <c r="N371" t="str">
        <f t="shared" si="5"/>
        <v>Light User</v>
      </c>
    </row>
    <row r="372" spans="1:14" x14ac:dyDescent="0.25">
      <c r="A372">
        <v>371</v>
      </c>
      <c r="B372" t="s">
        <v>17</v>
      </c>
      <c r="C372" t="s">
        <v>18</v>
      </c>
      <c r="D372">
        <v>558</v>
      </c>
      <c r="E372">
        <v>9.8000000000000007</v>
      </c>
      <c r="F372">
        <v>2765</v>
      </c>
      <c r="G372">
        <v>83</v>
      </c>
      <c r="H372">
        <v>1548</v>
      </c>
      <c r="I372">
        <v>25</v>
      </c>
      <c r="J372" t="str">
        <f>IF(Table2[[#This Row],[Age]]&lt;=24, "18 - 24", IF(Table2[[#This Row],[Age]]&lt;=34, "25 - 34", IF(Table2[[#This Row],[Age]]&lt;=44, "35 - 44", IF(Table2[[#This Row],[Age]]&lt;=54, "45 - 54", "55 - 59"))))</f>
        <v>25 - 34</v>
      </c>
      <c r="K372" t="str">
        <f>IF(Table2[[#This Row],[Age]]&lt;=24, "Young Adults", IF(Table2[[#This Row],[Age]]&lt;=34, "Early Career", IF(Table2[[#This Row],[Age]]&lt;=44, "Mid Career", IF(Table2[[#This Row],[Age]]&lt;=54, "Mature Adults", "Pre-retirment"))))</f>
        <v>Early Career</v>
      </c>
      <c r="L372" t="s">
        <v>15</v>
      </c>
      <c r="M372">
        <v>5</v>
      </c>
      <c r="N372" t="str">
        <f t="shared" si="5"/>
        <v>Heavy User</v>
      </c>
    </row>
    <row r="373" spans="1:14" x14ac:dyDescent="0.25">
      <c r="A373">
        <v>372</v>
      </c>
      <c r="B373" t="s">
        <v>11</v>
      </c>
      <c r="C373" t="s">
        <v>12</v>
      </c>
      <c r="D373">
        <v>561</v>
      </c>
      <c r="E373">
        <v>10.6</v>
      </c>
      <c r="F373">
        <v>2547</v>
      </c>
      <c r="G373">
        <v>86</v>
      </c>
      <c r="H373">
        <v>1823</v>
      </c>
      <c r="I373">
        <v>22</v>
      </c>
      <c r="J373" t="str">
        <f>IF(Table2[[#This Row],[Age]]&lt;=24, "18 - 24", IF(Table2[[#This Row],[Age]]&lt;=34, "25 - 34", IF(Table2[[#This Row],[Age]]&lt;=44, "35 - 44", IF(Table2[[#This Row],[Age]]&lt;=54, "45 - 54", "55 - 59"))))</f>
        <v>18 - 24</v>
      </c>
      <c r="K373" t="str">
        <f>IF(Table2[[#This Row],[Age]]&lt;=24, "Young Adults", IF(Table2[[#This Row],[Age]]&lt;=34, "Early Career", IF(Table2[[#This Row],[Age]]&lt;=44, "Mid Career", IF(Table2[[#This Row],[Age]]&lt;=54, "Mature Adults", "Pre-retirment"))))</f>
        <v>Young Adults</v>
      </c>
      <c r="L373" t="s">
        <v>13</v>
      </c>
      <c r="M373">
        <v>5</v>
      </c>
      <c r="N373" t="str">
        <f t="shared" si="5"/>
        <v>Heavy User</v>
      </c>
    </row>
    <row r="374" spans="1:14" x14ac:dyDescent="0.25">
      <c r="A374">
        <v>373</v>
      </c>
      <c r="B374" t="s">
        <v>19</v>
      </c>
      <c r="C374" t="s">
        <v>12</v>
      </c>
      <c r="D374">
        <v>511</v>
      </c>
      <c r="E374">
        <v>10.9</v>
      </c>
      <c r="F374">
        <v>2514</v>
      </c>
      <c r="G374">
        <v>91</v>
      </c>
      <c r="H374">
        <v>2335</v>
      </c>
      <c r="I374">
        <v>59</v>
      </c>
      <c r="J374" t="str">
        <f>IF(Table2[[#This Row],[Age]]&lt;=24, "18 - 24", IF(Table2[[#This Row],[Age]]&lt;=34, "25 - 34", IF(Table2[[#This Row],[Age]]&lt;=44, "35 - 44", IF(Table2[[#This Row],[Age]]&lt;=54, "45 - 54", "55 - 59"))))</f>
        <v>55 - 59</v>
      </c>
      <c r="K374" t="str">
        <f>IF(Table2[[#This Row],[Age]]&lt;=24, "Young Adults", IF(Table2[[#This Row],[Age]]&lt;=34, "Early Career", IF(Table2[[#This Row],[Age]]&lt;=44, "Mid Career", IF(Table2[[#This Row],[Age]]&lt;=54, "Mature Adults", "Pre-retirment"))))</f>
        <v>Pre-retirment</v>
      </c>
      <c r="L374" t="s">
        <v>15</v>
      </c>
      <c r="M374">
        <v>5</v>
      </c>
      <c r="N374" t="str">
        <f t="shared" si="5"/>
        <v>Heavy User</v>
      </c>
    </row>
    <row r="375" spans="1:14" x14ac:dyDescent="0.25">
      <c r="A375">
        <v>374</v>
      </c>
      <c r="B375" t="s">
        <v>11</v>
      </c>
      <c r="C375" t="s">
        <v>12</v>
      </c>
      <c r="D375">
        <v>560</v>
      </c>
      <c r="E375">
        <v>11.3</v>
      </c>
      <c r="F375">
        <v>2947</v>
      </c>
      <c r="G375">
        <v>95</v>
      </c>
      <c r="H375">
        <v>1663</v>
      </c>
      <c r="I375">
        <v>25</v>
      </c>
      <c r="J375" t="str">
        <f>IF(Table2[[#This Row],[Age]]&lt;=24, "18 - 24", IF(Table2[[#This Row],[Age]]&lt;=34, "25 - 34", IF(Table2[[#This Row],[Age]]&lt;=44, "35 - 44", IF(Table2[[#This Row],[Age]]&lt;=54, "45 - 54", "55 - 59"))))</f>
        <v>25 - 34</v>
      </c>
      <c r="K375" t="str">
        <f>IF(Table2[[#This Row],[Age]]&lt;=24, "Young Adults", IF(Table2[[#This Row],[Age]]&lt;=34, "Early Career", IF(Table2[[#This Row],[Age]]&lt;=44, "Mid Career", IF(Table2[[#This Row],[Age]]&lt;=54, "Mature Adults", "Pre-retirment"))))</f>
        <v>Early Career</v>
      </c>
      <c r="L375" t="s">
        <v>15</v>
      </c>
      <c r="M375">
        <v>5</v>
      </c>
      <c r="N375" t="str">
        <f t="shared" si="5"/>
        <v>Heavy User</v>
      </c>
    </row>
    <row r="376" spans="1:14" x14ac:dyDescent="0.25">
      <c r="A376">
        <v>375</v>
      </c>
      <c r="B376" t="s">
        <v>14</v>
      </c>
      <c r="C376" t="s">
        <v>12</v>
      </c>
      <c r="D376">
        <v>69</v>
      </c>
      <c r="E376">
        <v>1.3</v>
      </c>
      <c r="F376">
        <v>434</v>
      </c>
      <c r="G376">
        <v>12</v>
      </c>
      <c r="H376">
        <v>164</v>
      </c>
      <c r="I376">
        <v>42</v>
      </c>
      <c r="J376" t="str">
        <f>IF(Table2[[#This Row],[Age]]&lt;=24, "18 - 24", IF(Table2[[#This Row],[Age]]&lt;=34, "25 - 34", IF(Table2[[#This Row],[Age]]&lt;=44, "35 - 44", IF(Table2[[#This Row],[Age]]&lt;=54, "45 - 54", "55 - 59"))))</f>
        <v>35 - 44</v>
      </c>
      <c r="K376" t="str">
        <f>IF(Table2[[#This Row],[Age]]&lt;=24, "Young Adults", IF(Table2[[#This Row],[Age]]&lt;=34, "Early Career", IF(Table2[[#This Row],[Age]]&lt;=44, "Mid Career", IF(Table2[[#This Row],[Age]]&lt;=54, "Mature Adults", "Pre-retirment"))))</f>
        <v>Mid Career</v>
      </c>
      <c r="L376" t="s">
        <v>13</v>
      </c>
      <c r="M376">
        <v>1</v>
      </c>
      <c r="N376" t="str">
        <f t="shared" si="5"/>
        <v>Light User</v>
      </c>
    </row>
    <row r="377" spans="1:14" x14ac:dyDescent="0.25">
      <c r="A377">
        <v>376</v>
      </c>
      <c r="B377" t="s">
        <v>14</v>
      </c>
      <c r="C377" t="s">
        <v>12</v>
      </c>
      <c r="D377">
        <v>44</v>
      </c>
      <c r="E377">
        <v>1.1000000000000001</v>
      </c>
      <c r="F377">
        <v>531</v>
      </c>
      <c r="G377">
        <v>17</v>
      </c>
      <c r="H377">
        <v>232</v>
      </c>
      <c r="I377">
        <v>26</v>
      </c>
      <c r="J377" t="str">
        <f>IF(Table2[[#This Row],[Age]]&lt;=24, "18 - 24", IF(Table2[[#This Row],[Age]]&lt;=34, "25 - 34", IF(Table2[[#This Row],[Age]]&lt;=44, "35 - 44", IF(Table2[[#This Row],[Age]]&lt;=54, "45 - 54", "55 - 59"))))</f>
        <v>25 - 34</v>
      </c>
      <c r="K377" t="str">
        <f>IF(Table2[[#This Row],[Age]]&lt;=24, "Young Adults", IF(Table2[[#This Row],[Age]]&lt;=34, "Early Career", IF(Table2[[#This Row],[Age]]&lt;=44, "Mid Career", IF(Table2[[#This Row],[Age]]&lt;=54, "Mature Adults", "Pre-retirment"))))</f>
        <v>Early Career</v>
      </c>
      <c r="L377" t="s">
        <v>13</v>
      </c>
      <c r="M377">
        <v>1</v>
      </c>
      <c r="N377" t="str">
        <f t="shared" si="5"/>
        <v>Light User</v>
      </c>
    </row>
    <row r="378" spans="1:14" x14ac:dyDescent="0.25">
      <c r="A378">
        <v>377</v>
      </c>
      <c r="B378" t="s">
        <v>17</v>
      </c>
      <c r="C378" t="s">
        <v>18</v>
      </c>
      <c r="D378">
        <v>65</v>
      </c>
      <c r="E378">
        <v>1.7</v>
      </c>
      <c r="F378">
        <v>490</v>
      </c>
      <c r="G378">
        <v>17</v>
      </c>
      <c r="H378">
        <v>122</v>
      </c>
      <c r="I378">
        <v>51</v>
      </c>
      <c r="J378" t="str">
        <f>IF(Table2[[#This Row],[Age]]&lt;=24, "18 - 24", IF(Table2[[#This Row],[Age]]&lt;=34, "25 - 34", IF(Table2[[#This Row],[Age]]&lt;=44, "35 - 44", IF(Table2[[#This Row],[Age]]&lt;=54, "45 - 54", "55 - 59"))))</f>
        <v>45 - 54</v>
      </c>
      <c r="K378" t="str">
        <f>IF(Table2[[#This Row],[Age]]&lt;=24, "Young Adults", IF(Table2[[#This Row],[Age]]&lt;=34, "Early Career", IF(Table2[[#This Row],[Age]]&lt;=44, "Mid Career", IF(Table2[[#This Row],[Age]]&lt;=54, "Mature Adults", "Pre-retirment"))))</f>
        <v>Mature Adults</v>
      </c>
      <c r="L378" t="s">
        <v>15</v>
      </c>
      <c r="M378">
        <v>1</v>
      </c>
      <c r="N378" t="str">
        <f t="shared" si="5"/>
        <v>Light User</v>
      </c>
    </row>
    <row r="379" spans="1:14" x14ac:dyDescent="0.25">
      <c r="A379">
        <v>378</v>
      </c>
      <c r="B379" t="s">
        <v>11</v>
      </c>
      <c r="C379" t="s">
        <v>12</v>
      </c>
      <c r="D379">
        <v>458</v>
      </c>
      <c r="E379">
        <v>6</v>
      </c>
      <c r="F379">
        <v>1875</v>
      </c>
      <c r="G379">
        <v>63</v>
      </c>
      <c r="H379">
        <v>1072</v>
      </c>
      <c r="I379">
        <v>31</v>
      </c>
      <c r="J379" t="str">
        <f>IF(Table2[[#This Row],[Age]]&lt;=24, "18 - 24", IF(Table2[[#This Row],[Age]]&lt;=34, "25 - 34", IF(Table2[[#This Row],[Age]]&lt;=44, "35 - 44", IF(Table2[[#This Row],[Age]]&lt;=54, "45 - 54", "55 - 59"))))</f>
        <v>25 - 34</v>
      </c>
      <c r="K379" t="str">
        <f>IF(Table2[[#This Row],[Age]]&lt;=24, "Young Adults", IF(Table2[[#This Row],[Age]]&lt;=34, "Early Career", IF(Table2[[#This Row],[Age]]&lt;=44, "Mid Career", IF(Table2[[#This Row],[Age]]&lt;=54, "Mature Adults", "Pre-retirment"))))</f>
        <v>Early Career</v>
      </c>
      <c r="L379" t="s">
        <v>15</v>
      </c>
      <c r="M379">
        <v>4</v>
      </c>
      <c r="N379" t="str">
        <f t="shared" si="5"/>
        <v>Heavy User</v>
      </c>
    </row>
    <row r="380" spans="1:14" x14ac:dyDescent="0.25">
      <c r="A380">
        <v>379</v>
      </c>
      <c r="B380" t="s">
        <v>19</v>
      </c>
      <c r="C380" t="s">
        <v>12</v>
      </c>
      <c r="D380">
        <v>525</v>
      </c>
      <c r="E380">
        <v>10.8</v>
      </c>
      <c r="F380">
        <v>2445</v>
      </c>
      <c r="G380">
        <v>99</v>
      </c>
      <c r="H380">
        <v>1623</v>
      </c>
      <c r="I380">
        <v>57</v>
      </c>
      <c r="J380" t="str">
        <f>IF(Table2[[#This Row],[Age]]&lt;=24, "18 - 24", IF(Table2[[#This Row],[Age]]&lt;=34, "25 - 34", IF(Table2[[#This Row],[Age]]&lt;=44, "35 - 44", IF(Table2[[#This Row],[Age]]&lt;=54, "45 - 54", "55 - 59"))))</f>
        <v>55 - 59</v>
      </c>
      <c r="K380" t="str">
        <f>IF(Table2[[#This Row],[Age]]&lt;=24, "Young Adults", IF(Table2[[#This Row],[Age]]&lt;=34, "Early Career", IF(Table2[[#This Row],[Age]]&lt;=44, "Mid Career", IF(Table2[[#This Row],[Age]]&lt;=54, "Mature Adults", "Pre-retirment"))))</f>
        <v>Pre-retirment</v>
      </c>
      <c r="L380" t="s">
        <v>13</v>
      </c>
      <c r="M380">
        <v>5</v>
      </c>
      <c r="N380" t="str">
        <f t="shared" si="5"/>
        <v>Heavy User</v>
      </c>
    </row>
    <row r="381" spans="1:14" x14ac:dyDescent="0.25">
      <c r="A381">
        <v>380</v>
      </c>
      <c r="B381" t="s">
        <v>14</v>
      </c>
      <c r="C381" t="s">
        <v>12</v>
      </c>
      <c r="D381">
        <v>106</v>
      </c>
      <c r="E381">
        <v>3</v>
      </c>
      <c r="F381">
        <v>922</v>
      </c>
      <c r="G381">
        <v>22</v>
      </c>
      <c r="H381">
        <v>313</v>
      </c>
      <c r="I381">
        <v>51</v>
      </c>
      <c r="J381" t="str">
        <f>IF(Table2[[#This Row],[Age]]&lt;=24, "18 - 24", IF(Table2[[#This Row],[Age]]&lt;=34, "25 - 34", IF(Table2[[#This Row],[Age]]&lt;=44, "35 - 44", IF(Table2[[#This Row],[Age]]&lt;=54, "45 - 54", "55 - 59"))))</f>
        <v>45 - 54</v>
      </c>
      <c r="K381" t="str">
        <f>IF(Table2[[#This Row],[Age]]&lt;=24, "Young Adults", IF(Table2[[#This Row],[Age]]&lt;=34, "Early Career", IF(Table2[[#This Row],[Age]]&lt;=44, "Mid Career", IF(Table2[[#This Row],[Age]]&lt;=54, "Mature Adults", "Pre-retirment"))))</f>
        <v>Mature Adults</v>
      </c>
      <c r="L381" t="s">
        <v>13</v>
      </c>
      <c r="M381">
        <v>2</v>
      </c>
      <c r="N381" t="str">
        <f t="shared" si="5"/>
        <v>Light User</v>
      </c>
    </row>
    <row r="382" spans="1:14" x14ac:dyDescent="0.25">
      <c r="A382">
        <v>381</v>
      </c>
      <c r="B382" t="s">
        <v>17</v>
      </c>
      <c r="C382" t="s">
        <v>18</v>
      </c>
      <c r="D382">
        <v>188</v>
      </c>
      <c r="E382">
        <v>4.5999999999999996</v>
      </c>
      <c r="F382">
        <v>1767</v>
      </c>
      <c r="G382">
        <v>47</v>
      </c>
      <c r="H382">
        <v>653</v>
      </c>
      <c r="I382">
        <v>34</v>
      </c>
      <c r="J382" t="str">
        <f>IF(Table2[[#This Row],[Age]]&lt;=24, "18 - 24", IF(Table2[[#This Row],[Age]]&lt;=34, "25 - 34", IF(Table2[[#This Row],[Age]]&lt;=44, "35 - 44", IF(Table2[[#This Row],[Age]]&lt;=54, "45 - 54", "55 - 59"))))</f>
        <v>25 - 34</v>
      </c>
      <c r="K382" t="str">
        <f>IF(Table2[[#This Row],[Age]]&lt;=24, "Young Adults", IF(Table2[[#This Row],[Age]]&lt;=34, "Early Career", IF(Table2[[#This Row],[Age]]&lt;=44, "Mid Career", IF(Table2[[#This Row],[Age]]&lt;=54, "Mature Adults", "Pre-retirment"))))</f>
        <v>Early Career</v>
      </c>
      <c r="L382" t="s">
        <v>13</v>
      </c>
      <c r="M382">
        <v>3</v>
      </c>
      <c r="N382" t="str">
        <f t="shared" si="5"/>
        <v>Moderate User</v>
      </c>
    </row>
    <row r="383" spans="1:14" x14ac:dyDescent="0.25">
      <c r="A383">
        <v>382</v>
      </c>
      <c r="B383" t="s">
        <v>17</v>
      </c>
      <c r="C383" t="s">
        <v>18</v>
      </c>
      <c r="D383">
        <v>493</v>
      </c>
      <c r="E383">
        <v>10.4</v>
      </c>
      <c r="F383">
        <v>2453</v>
      </c>
      <c r="G383">
        <v>99</v>
      </c>
      <c r="H383">
        <v>1813</v>
      </c>
      <c r="I383">
        <v>39</v>
      </c>
      <c r="J383" t="str">
        <f>IF(Table2[[#This Row],[Age]]&lt;=24, "18 - 24", IF(Table2[[#This Row],[Age]]&lt;=34, "25 - 34", IF(Table2[[#This Row],[Age]]&lt;=44, "35 - 44", IF(Table2[[#This Row],[Age]]&lt;=54, "45 - 54", "55 - 59"))))</f>
        <v>35 - 44</v>
      </c>
      <c r="K383" t="str">
        <f>IF(Table2[[#This Row],[Age]]&lt;=24, "Young Adults", IF(Table2[[#This Row],[Age]]&lt;=34, "Early Career", IF(Table2[[#This Row],[Age]]&lt;=44, "Mid Career", IF(Table2[[#This Row],[Age]]&lt;=54, "Mature Adults", "Pre-retirment"))))</f>
        <v>Mid Career</v>
      </c>
      <c r="L383" t="s">
        <v>13</v>
      </c>
      <c r="M383">
        <v>5</v>
      </c>
      <c r="N383" t="str">
        <f t="shared" si="5"/>
        <v>Heavy User</v>
      </c>
    </row>
    <row r="384" spans="1:14" x14ac:dyDescent="0.25">
      <c r="A384">
        <v>383</v>
      </c>
      <c r="B384" t="s">
        <v>14</v>
      </c>
      <c r="C384" t="s">
        <v>12</v>
      </c>
      <c r="D384">
        <v>84</v>
      </c>
      <c r="E384">
        <v>1.5</v>
      </c>
      <c r="F384">
        <v>373</v>
      </c>
      <c r="G384">
        <v>19</v>
      </c>
      <c r="H384">
        <v>299</v>
      </c>
      <c r="I384">
        <v>37</v>
      </c>
      <c r="J384" t="str">
        <f>IF(Table2[[#This Row],[Age]]&lt;=24, "18 - 24", IF(Table2[[#This Row],[Age]]&lt;=34, "25 - 34", IF(Table2[[#This Row],[Age]]&lt;=44, "35 - 44", IF(Table2[[#This Row],[Age]]&lt;=54, "45 - 54", "55 - 59"))))</f>
        <v>35 - 44</v>
      </c>
      <c r="K384" t="str">
        <f>IF(Table2[[#This Row],[Age]]&lt;=24, "Young Adults", IF(Table2[[#This Row],[Age]]&lt;=34, "Early Career", IF(Table2[[#This Row],[Age]]&lt;=44, "Mid Career", IF(Table2[[#This Row],[Age]]&lt;=54, "Mature Adults", "Pre-retirment"))))</f>
        <v>Mid Career</v>
      </c>
      <c r="L384" t="s">
        <v>15</v>
      </c>
      <c r="M384">
        <v>1</v>
      </c>
      <c r="N384" t="str">
        <f t="shared" si="5"/>
        <v>Light User</v>
      </c>
    </row>
    <row r="385" spans="1:14" x14ac:dyDescent="0.25">
      <c r="A385">
        <v>384</v>
      </c>
      <c r="B385" t="s">
        <v>14</v>
      </c>
      <c r="C385" t="s">
        <v>12</v>
      </c>
      <c r="D385">
        <v>104</v>
      </c>
      <c r="E385">
        <v>2.9</v>
      </c>
      <c r="F385">
        <v>653</v>
      </c>
      <c r="G385">
        <v>35</v>
      </c>
      <c r="H385">
        <v>322</v>
      </c>
      <c r="I385">
        <v>30</v>
      </c>
      <c r="J385" t="str">
        <f>IF(Table2[[#This Row],[Age]]&lt;=24, "18 - 24", IF(Table2[[#This Row],[Age]]&lt;=34, "25 - 34", IF(Table2[[#This Row],[Age]]&lt;=44, "35 - 44", IF(Table2[[#This Row],[Age]]&lt;=54, "45 - 54", "55 - 59"))))</f>
        <v>25 - 34</v>
      </c>
      <c r="K385" t="str">
        <f>IF(Table2[[#This Row],[Age]]&lt;=24, "Young Adults", IF(Table2[[#This Row],[Age]]&lt;=34, "Early Career", IF(Table2[[#This Row],[Age]]&lt;=44, "Mid Career", IF(Table2[[#This Row],[Age]]&lt;=54, "Mature Adults", "Pre-retirment"))))</f>
        <v>Early Career</v>
      </c>
      <c r="L385" t="s">
        <v>13</v>
      </c>
      <c r="M385">
        <v>2</v>
      </c>
      <c r="N385" t="str">
        <f t="shared" si="5"/>
        <v>Light User</v>
      </c>
    </row>
    <row r="386" spans="1:14" x14ac:dyDescent="0.25">
      <c r="A386">
        <v>385</v>
      </c>
      <c r="B386" t="s">
        <v>19</v>
      </c>
      <c r="C386" t="s">
        <v>12</v>
      </c>
      <c r="D386">
        <v>102</v>
      </c>
      <c r="E386">
        <v>3</v>
      </c>
      <c r="F386">
        <v>890</v>
      </c>
      <c r="G386">
        <v>38</v>
      </c>
      <c r="H386">
        <v>548</v>
      </c>
      <c r="I386">
        <v>28</v>
      </c>
      <c r="J386" t="str">
        <f>IF(Table2[[#This Row],[Age]]&lt;=24, "18 - 24", IF(Table2[[#This Row],[Age]]&lt;=34, "25 - 34", IF(Table2[[#This Row],[Age]]&lt;=44, "35 - 44", IF(Table2[[#This Row],[Age]]&lt;=54, "45 - 54", "55 - 59"))))</f>
        <v>25 - 34</v>
      </c>
      <c r="K386" t="str">
        <f>IF(Table2[[#This Row],[Age]]&lt;=24, "Young Adults", IF(Table2[[#This Row],[Age]]&lt;=34, "Early Career", IF(Table2[[#This Row],[Age]]&lt;=44, "Mid Career", IF(Table2[[#This Row],[Age]]&lt;=54, "Mature Adults", "Pre-retirment"))))</f>
        <v>Early Career</v>
      </c>
      <c r="L386" t="s">
        <v>13</v>
      </c>
      <c r="M386">
        <v>2</v>
      </c>
      <c r="N386" t="str">
        <f t="shared" si="5"/>
        <v>Light User</v>
      </c>
    </row>
    <row r="387" spans="1:14" x14ac:dyDescent="0.25">
      <c r="A387">
        <v>386</v>
      </c>
      <c r="B387" t="s">
        <v>17</v>
      </c>
      <c r="C387" t="s">
        <v>18</v>
      </c>
      <c r="D387">
        <v>349</v>
      </c>
      <c r="E387">
        <v>6.6</v>
      </c>
      <c r="F387">
        <v>2041</v>
      </c>
      <c r="G387">
        <v>78</v>
      </c>
      <c r="H387">
        <v>1096</v>
      </c>
      <c r="I387">
        <v>40</v>
      </c>
      <c r="J387" t="str">
        <f>IF(Table2[[#This Row],[Age]]&lt;=24, "18 - 24", IF(Table2[[#This Row],[Age]]&lt;=34, "25 - 34", IF(Table2[[#This Row],[Age]]&lt;=44, "35 - 44", IF(Table2[[#This Row],[Age]]&lt;=54, "45 - 54", "55 - 59"))))</f>
        <v>35 - 44</v>
      </c>
      <c r="K387" t="str">
        <f>IF(Table2[[#This Row],[Age]]&lt;=24, "Young Adults", IF(Table2[[#This Row],[Age]]&lt;=34, "Early Career", IF(Table2[[#This Row],[Age]]&lt;=44, "Mid Career", IF(Table2[[#This Row],[Age]]&lt;=54, "Mature Adults", "Pre-retirment"))))</f>
        <v>Mid Career</v>
      </c>
      <c r="L387" t="s">
        <v>15</v>
      </c>
      <c r="M387">
        <v>4</v>
      </c>
      <c r="N387" t="str">
        <f t="shared" ref="N387:N450" si="6">IF(M387&lt;=2, "Light User", IF(M387=3, "Moderate User", "Heavy User"))</f>
        <v>Heavy User</v>
      </c>
    </row>
    <row r="388" spans="1:14" x14ac:dyDescent="0.25">
      <c r="A388">
        <v>387</v>
      </c>
      <c r="B388" t="s">
        <v>14</v>
      </c>
      <c r="C388" t="s">
        <v>12</v>
      </c>
      <c r="D388">
        <v>98</v>
      </c>
      <c r="E388">
        <v>2</v>
      </c>
      <c r="F388">
        <v>925</v>
      </c>
      <c r="G388">
        <v>32</v>
      </c>
      <c r="H388">
        <v>457</v>
      </c>
      <c r="I388">
        <v>28</v>
      </c>
      <c r="J388" t="str">
        <f>IF(Table2[[#This Row],[Age]]&lt;=24, "18 - 24", IF(Table2[[#This Row],[Age]]&lt;=34, "25 - 34", IF(Table2[[#This Row],[Age]]&lt;=44, "35 - 44", IF(Table2[[#This Row],[Age]]&lt;=54, "45 - 54", "55 - 59"))))</f>
        <v>25 - 34</v>
      </c>
      <c r="K388" t="str">
        <f>IF(Table2[[#This Row],[Age]]&lt;=24, "Young Adults", IF(Table2[[#This Row],[Age]]&lt;=34, "Early Career", IF(Table2[[#This Row],[Age]]&lt;=44, "Mid Career", IF(Table2[[#This Row],[Age]]&lt;=54, "Mature Adults", "Pre-retirment"))))</f>
        <v>Early Career</v>
      </c>
      <c r="L388" t="s">
        <v>13</v>
      </c>
      <c r="M388">
        <v>2</v>
      </c>
      <c r="N388" t="str">
        <f t="shared" si="6"/>
        <v>Light User</v>
      </c>
    </row>
    <row r="389" spans="1:14" x14ac:dyDescent="0.25">
      <c r="A389">
        <v>388</v>
      </c>
      <c r="B389" t="s">
        <v>19</v>
      </c>
      <c r="C389" t="s">
        <v>12</v>
      </c>
      <c r="D389">
        <v>72</v>
      </c>
      <c r="E389">
        <v>1.3</v>
      </c>
      <c r="F389">
        <v>461</v>
      </c>
      <c r="G389">
        <v>13</v>
      </c>
      <c r="H389">
        <v>199</v>
      </c>
      <c r="I389">
        <v>32</v>
      </c>
      <c r="J389" t="str">
        <f>IF(Table2[[#This Row],[Age]]&lt;=24, "18 - 24", IF(Table2[[#This Row],[Age]]&lt;=34, "25 - 34", IF(Table2[[#This Row],[Age]]&lt;=44, "35 - 44", IF(Table2[[#This Row],[Age]]&lt;=54, "45 - 54", "55 - 59"))))</f>
        <v>25 - 34</v>
      </c>
      <c r="K389" t="str">
        <f>IF(Table2[[#This Row],[Age]]&lt;=24, "Young Adults", IF(Table2[[#This Row],[Age]]&lt;=34, "Early Career", IF(Table2[[#This Row],[Age]]&lt;=44, "Mid Career", IF(Table2[[#This Row],[Age]]&lt;=54, "Mature Adults", "Pre-retirment"))))</f>
        <v>Early Career</v>
      </c>
      <c r="L389" t="s">
        <v>13</v>
      </c>
      <c r="M389">
        <v>1</v>
      </c>
      <c r="N389" t="str">
        <f t="shared" si="6"/>
        <v>Light User</v>
      </c>
    </row>
    <row r="390" spans="1:14" x14ac:dyDescent="0.25">
      <c r="A390">
        <v>389</v>
      </c>
      <c r="B390" t="s">
        <v>16</v>
      </c>
      <c r="C390" t="s">
        <v>12</v>
      </c>
      <c r="D390">
        <v>563</v>
      </c>
      <c r="E390">
        <v>11.6</v>
      </c>
      <c r="F390">
        <v>2968</v>
      </c>
      <c r="G390">
        <v>92</v>
      </c>
      <c r="H390">
        <v>2191</v>
      </c>
      <c r="I390">
        <v>34</v>
      </c>
      <c r="J390" t="str">
        <f>IF(Table2[[#This Row],[Age]]&lt;=24, "18 - 24", IF(Table2[[#This Row],[Age]]&lt;=34, "25 - 34", IF(Table2[[#This Row],[Age]]&lt;=44, "35 - 44", IF(Table2[[#This Row],[Age]]&lt;=54, "45 - 54", "55 - 59"))))</f>
        <v>25 - 34</v>
      </c>
      <c r="K390" t="str">
        <f>IF(Table2[[#This Row],[Age]]&lt;=24, "Young Adults", IF(Table2[[#This Row],[Age]]&lt;=34, "Early Career", IF(Table2[[#This Row],[Age]]&lt;=44, "Mid Career", IF(Table2[[#This Row],[Age]]&lt;=54, "Mature Adults", "Pre-retirment"))))</f>
        <v>Early Career</v>
      </c>
      <c r="L390" t="s">
        <v>15</v>
      </c>
      <c r="M390">
        <v>5</v>
      </c>
      <c r="N390" t="str">
        <f t="shared" si="6"/>
        <v>Heavy User</v>
      </c>
    </row>
    <row r="391" spans="1:14" x14ac:dyDescent="0.25">
      <c r="A391">
        <v>390</v>
      </c>
      <c r="B391" t="s">
        <v>16</v>
      </c>
      <c r="C391" t="s">
        <v>12</v>
      </c>
      <c r="D391">
        <v>119</v>
      </c>
      <c r="E391">
        <v>2.8</v>
      </c>
      <c r="F391">
        <v>775</v>
      </c>
      <c r="G391">
        <v>31</v>
      </c>
      <c r="H391">
        <v>313</v>
      </c>
      <c r="I391">
        <v>50</v>
      </c>
      <c r="J391" t="str">
        <f>IF(Table2[[#This Row],[Age]]&lt;=24, "18 - 24", IF(Table2[[#This Row],[Age]]&lt;=34, "25 - 34", IF(Table2[[#This Row],[Age]]&lt;=44, "35 - 44", IF(Table2[[#This Row],[Age]]&lt;=54, "45 - 54", "55 - 59"))))</f>
        <v>45 - 54</v>
      </c>
      <c r="K391" t="str">
        <f>IF(Table2[[#This Row],[Age]]&lt;=24, "Young Adults", IF(Table2[[#This Row],[Age]]&lt;=34, "Early Career", IF(Table2[[#This Row],[Age]]&lt;=44, "Mid Career", IF(Table2[[#This Row],[Age]]&lt;=54, "Mature Adults", "Pre-retirment"))))</f>
        <v>Mature Adults</v>
      </c>
      <c r="L391" t="s">
        <v>15</v>
      </c>
      <c r="M391">
        <v>2</v>
      </c>
      <c r="N391" t="str">
        <f t="shared" si="6"/>
        <v>Light User</v>
      </c>
    </row>
    <row r="392" spans="1:14" x14ac:dyDescent="0.25">
      <c r="A392">
        <v>391</v>
      </c>
      <c r="B392" t="s">
        <v>14</v>
      </c>
      <c r="C392" t="s">
        <v>12</v>
      </c>
      <c r="D392">
        <v>311</v>
      </c>
      <c r="E392">
        <v>7.9</v>
      </c>
      <c r="F392">
        <v>2231</v>
      </c>
      <c r="G392">
        <v>69</v>
      </c>
      <c r="H392">
        <v>1021</v>
      </c>
      <c r="I392">
        <v>36</v>
      </c>
      <c r="J392" t="str">
        <f>IF(Table2[[#This Row],[Age]]&lt;=24, "18 - 24", IF(Table2[[#This Row],[Age]]&lt;=34, "25 - 34", IF(Table2[[#This Row],[Age]]&lt;=44, "35 - 44", IF(Table2[[#This Row],[Age]]&lt;=54, "45 - 54", "55 - 59"))))</f>
        <v>35 - 44</v>
      </c>
      <c r="K392" t="str">
        <f>IF(Table2[[#This Row],[Age]]&lt;=24, "Young Adults", IF(Table2[[#This Row],[Age]]&lt;=34, "Early Career", IF(Table2[[#This Row],[Age]]&lt;=44, "Mid Career", IF(Table2[[#This Row],[Age]]&lt;=54, "Mature Adults", "Pre-retirment"))))</f>
        <v>Mid Career</v>
      </c>
      <c r="L392" t="s">
        <v>13</v>
      </c>
      <c r="M392">
        <v>4</v>
      </c>
      <c r="N392" t="str">
        <f t="shared" si="6"/>
        <v>Heavy User</v>
      </c>
    </row>
    <row r="393" spans="1:14" x14ac:dyDescent="0.25">
      <c r="A393">
        <v>392</v>
      </c>
      <c r="B393" t="s">
        <v>14</v>
      </c>
      <c r="C393" t="s">
        <v>12</v>
      </c>
      <c r="D393">
        <v>337</v>
      </c>
      <c r="E393">
        <v>6.1</v>
      </c>
      <c r="F393">
        <v>1901</v>
      </c>
      <c r="G393">
        <v>76</v>
      </c>
      <c r="H393">
        <v>1359</v>
      </c>
      <c r="I393">
        <v>58</v>
      </c>
      <c r="J393" t="str">
        <f>IF(Table2[[#This Row],[Age]]&lt;=24, "18 - 24", IF(Table2[[#This Row],[Age]]&lt;=34, "25 - 34", IF(Table2[[#This Row],[Age]]&lt;=44, "35 - 44", IF(Table2[[#This Row],[Age]]&lt;=54, "45 - 54", "55 - 59"))))</f>
        <v>55 - 59</v>
      </c>
      <c r="K393" t="str">
        <f>IF(Table2[[#This Row],[Age]]&lt;=24, "Young Adults", IF(Table2[[#This Row],[Age]]&lt;=34, "Early Career", IF(Table2[[#This Row],[Age]]&lt;=44, "Mid Career", IF(Table2[[#This Row],[Age]]&lt;=54, "Mature Adults", "Pre-retirment"))))</f>
        <v>Pre-retirment</v>
      </c>
      <c r="L393" t="s">
        <v>13</v>
      </c>
      <c r="M393">
        <v>4</v>
      </c>
      <c r="N393" t="str">
        <f t="shared" si="6"/>
        <v>Heavy User</v>
      </c>
    </row>
    <row r="394" spans="1:14" x14ac:dyDescent="0.25">
      <c r="A394">
        <v>393</v>
      </c>
      <c r="B394" t="s">
        <v>19</v>
      </c>
      <c r="C394" t="s">
        <v>12</v>
      </c>
      <c r="D394">
        <v>168</v>
      </c>
      <c r="E394">
        <v>3.5</v>
      </c>
      <c r="F394">
        <v>1055</v>
      </c>
      <c r="G394">
        <v>29</v>
      </c>
      <c r="H394">
        <v>313</v>
      </c>
      <c r="I394">
        <v>54</v>
      </c>
      <c r="J394" t="str">
        <f>IF(Table2[[#This Row],[Age]]&lt;=24, "18 - 24", IF(Table2[[#This Row],[Age]]&lt;=34, "25 - 34", IF(Table2[[#This Row],[Age]]&lt;=44, "35 - 44", IF(Table2[[#This Row],[Age]]&lt;=54, "45 - 54", "55 - 59"))))</f>
        <v>45 - 54</v>
      </c>
      <c r="K394" t="str">
        <f>IF(Table2[[#This Row],[Age]]&lt;=24, "Young Adults", IF(Table2[[#This Row],[Age]]&lt;=34, "Early Career", IF(Table2[[#This Row],[Age]]&lt;=44, "Mid Career", IF(Table2[[#This Row],[Age]]&lt;=54, "Mature Adults", "Pre-retirment"))))</f>
        <v>Mature Adults</v>
      </c>
      <c r="L394" t="s">
        <v>13</v>
      </c>
      <c r="M394">
        <v>2</v>
      </c>
      <c r="N394" t="str">
        <f t="shared" si="6"/>
        <v>Light User</v>
      </c>
    </row>
    <row r="395" spans="1:14" x14ac:dyDescent="0.25">
      <c r="A395">
        <v>394</v>
      </c>
      <c r="B395" t="s">
        <v>17</v>
      </c>
      <c r="C395" t="s">
        <v>18</v>
      </c>
      <c r="D395">
        <v>331</v>
      </c>
      <c r="E395">
        <v>7.4</v>
      </c>
      <c r="F395">
        <v>2129</v>
      </c>
      <c r="G395">
        <v>66</v>
      </c>
      <c r="H395">
        <v>1459</v>
      </c>
      <c r="I395">
        <v>53</v>
      </c>
      <c r="J395" t="str">
        <f>IF(Table2[[#This Row],[Age]]&lt;=24, "18 - 24", IF(Table2[[#This Row],[Age]]&lt;=34, "25 - 34", IF(Table2[[#This Row],[Age]]&lt;=44, "35 - 44", IF(Table2[[#This Row],[Age]]&lt;=54, "45 - 54", "55 - 59"))))</f>
        <v>45 - 54</v>
      </c>
      <c r="K395" t="str">
        <f>IF(Table2[[#This Row],[Age]]&lt;=24, "Young Adults", IF(Table2[[#This Row],[Age]]&lt;=34, "Early Career", IF(Table2[[#This Row],[Age]]&lt;=44, "Mid Career", IF(Table2[[#This Row],[Age]]&lt;=54, "Mature Adults", "Pre-retirment"))))</f>
        <v>Mature Adults</v>
      </c>
      <c r="L395" t="s">
        <v>13</v>
      </c>
      <c r="M395">
        <v>4</v>
      </c>
      <c r="N395" t="str">
        <f t="shared" si="6"/>
        <v>Heavy User</v>
      </c>
    </row>
    <row r="396" spans="1:14" x14ac:dyDescent="0.25">
      <c r="A396">
        <v>395</v>
      </c>
      <c r="B396" t="s">
        <v>11</v>
      </c>
      <c r="C396" t="s">
        <v>12</v>
      </c>
      <c r="D396">
        <v>589</v>
      </c>
      <c r="E396">
        <v>9.1999999999999993</v>
      </c>
      <c r="F396">
        <v>2663</v>
      </c>
      <c r="G396">
        <v>84</v>
      </c>
      <c r="H396">
        <v>1774</v>
      </c>
      <c r="I396">
        <v>45</v>
      </c>
      <c r="J396" t="str">
        <f>IF(Table2[[#This Row],[Age]]&lt;=24, "18 - 24", IF(Table2[[#This Row],[Age]]&lt;=34, "25 - 34", IF(Table2[[#This Row],[Age]]&lt;=44, "35 - 44", IF(Table2[[#This Row],[Age]]&lt;=54, "45 - 54", "55 - 59"))))</f>
        <v>45 - 54</v>
      </c>
      <c r="K396" t="str">
        <f>IF(Table2[[#This Row],[Age]]&lt;=24, "Young Adults", IF(Table2[[#This Row],[Age]]&lt;=34, "Early Career", IF(Table2[[#This Row],[Age]]&lt;=44, "Mid Career", IF(Table2[[#This Row],[Age]]&lt;=54, "Mature Adults", "Pre-retirment"))))</f>
        <v>Mature Adults</v>
      </c>
      <c r="L396" t="s">
        <v>15</v>
      </c>
      <c r="M396">
        <v>5</v>
      </c>
      <c r="N396" t="str">
        <f t="shared" si="6"/>
        <v>Heavy User</v>
      </c>
    </row>
    <row r="397" spans="1:14" x14ac:dyDescent="0.25">
      <c r="A397">
        <v>396</v>
      </c>
      <c r="B397" t="s">
        <v>16</v>
      </c>
      <c r="C397" t="s">
        <v>12</v>
      </c>
      <c r="D397">
        <v>472</v>
      </c>
      <c r="E397">
        <v>6.8</v>
      </c>
      <c r="F397">
        <v>2288</v>
      </c>
      <c r="G397">
        <v>61</v>
      </c>
      <c r="H397">
        <v>1356</v>
      </c>
      <c r="I397">
        <v>52</v>
      </c>
      <c r="J397" t="str">
        <f>IF(Table2[[#This Row],[Age]]&lt;=24, "18 - 24", IF(Table2[[#This Row],[Age]]&lt;=34, "25 - 34", IF(Table2[[#This Row],[Age]]&lt;=44, "35 - 44", IF(Table2[[#This Row],[Age]]&lt;=54, "45 - 54", "55 - 59"))))</f>
        <v>45 - 54</v>
      </c>
      <c r="K397" t="str">
        <f>IF(Table2[[#This Row],[Age]]&lt;=24, "Young Adults", IF(Table2[[#This Row],[Age]]&lt;=34, "Early Career", IF(Table2[[#This Row],[Age]]&lt;=44, "Mid Career", IF(Table2[[#This Row],[Age]]&lt;=54, "Mature Adults", "Pre-retirment"))))</f>
        <v>Mature Adults</v>
      </c>
      <c r="L397" t="s">
        <v>13</v>
      </c>
      <c r="M397">
        <v>4</v>
      </c>
      <c r="N397" t="str">
        <f t="shared" si="6"/>
        <v>Heavy User</v>
      </c>
    </row>
    <row r="398" spans="1:14" x14ac:dyDescent="0.25">
      <c r="A398">
        <v>397</v>
      </c>
      <c r="B398" t="s">
        <v>16</v>
      </c>
      <c r="C398" t="s">
        <v>12</v>
      </c>
      <c r="D398">
        <v>78</v>
      </c>
      <c r="E398">
        <v>1.1000000000000001</v>
      </c>
      <c r="F398">
        <v>437</v>
      </c>
      <c r="G398">
        <v>14</v>
      </c>
      <c r="H398">
        <v>143</v>
      </c>
      <c r="I398">
        <v>27</v>
      </c>
      <c r="J398" t="str">
        <f>IF(Table2[[#This Row],[Age]]&lt;=24, "18 - 24", IF(Table2[[#This Row],[Age]]&lt;=34, "25 - 34", IF(Table2[[#This Row],[Age]]&lt;=44, "35 - 44", IF(Table2[[#This Row],[Age]]&lt;=54, "45 - 54", "55 - 59"))))</f>
        <v>25 - 34</v>
      </c>
      <c r="K398" t="str">
        <f>IF(Table2[[#This Row],[Age]]&lt;=24, "Young Adults", IF(Table2[[#This Row],[Age]]&lt;=34, "Early Career", IF(Table2[[#This Row],[Age]]&lt;=44, "Mid Career", IF(Table2[[#This Row],[Age]]&lt;=54, "Mature Adults", "Pre-retirment"))))</f>
        <v>Early Career</v>
      </c>
      <c r="L398" t="s">
        <v>15</v>
      </c>
      <c r="M398">
        <v>1</v>
      </c>
      <c r="N398" t="str">
        <f t="shared" si="6"/>
        <v>Light User</v>
      </c>
    </row>
    <row r="399" spans="1:14" x14ac:dyDescent="0.25">
      <c r="A399">
        <v>398</v>
      </c>
      <c r="B399" t="s">
        <v>17</v>
      </c>
      <c r="C399" t="s">
        <v>18</v>
      </c>
      <c r="D399">
        <v>517</v>
      </c>
      <c r="E399">
        <v>11.6</v>
      </c>
      <c r="F399">
        <v>2798</v>
      </c>
      <c r="G399">
        <v>90</v>
      </c>
      <c r="H399">
        <v>2175</v>
      </c>
      <c r="I399">
        <v>20</v>
      </c>
      <c r="J399" t="str">
        <f>IF(Table2[[#This Row],[Age]]&lt;=24, "18 - 24", IF(Table2[[#This Row],[Age]]&lt;=34, "25 - 34", IF(Table2[[#This Row],[Age]]&lt;=44, "35 - 44", IF(Table2[[#This Row],[Age]]&lt;=54, "45 - 54", "55 - 59"))))</f>
        <v>18 - 24</v>
      </c>
      <c r="K399" t="str">
        <f>IF(Table2[[#This Row],[Age]]&lt;=24, "Young Adults", IF(Table2[[#This Row],[Age]]&lt;=34, "Early Career", IF(Table2[[#This Row],[Age]]&lt;=44, "Mid Career", IF(Table2[[#This Row],[Age]]&lt;=54, "Mature Adults", "Pre-retirment"))))</f>
        <v>Young Adults</v>
      </c>
      <c r="L399" t="s">
        <v>13</v>
      </c>
      <c r="M399">
        <v>5</v>
      </c>
      <c r="N399" t="str">
        <f t="shared" si="6"/>
        <v>Heavy User</v>
      </c>
    </row>
    <row r="400" spans="1:14" x14ac:dyDescent="0.25">
      <c r="A400">
        <v>399</v>
      </c>
      <c r="B400" t="s">
        <v>14</v>
      </c>
      <c r="C400" t="s">
        <v>12</v>
      </c>
      <c r="D400">
        <v>41</v>
      </c>
      <c r="E400">
        <v>1.6</v>
      </c>
      <c r="F400">
        <v>323</v>
      </c>
      <c r="G400">
        <v>18</v>
      </c>
      <c r="H400">
        <v>221</v>
      </c>
      <c r="I400">
        <v>43</v>
      </c>
      <c r="J400" t="str">
        <f>IF(Table2[[#This Row],[Age]]&lt;=24, "18 - 24", IF(Table2[[#This Row],[Age]]&lt;=34, "25 - 34", IF(Table2[[#This Row],[Age]]&lt;=44, "35 - 44", IF(Table2[[#This Row],[Age]]&lt;=54, "45 - 54", "55 - 59"))))</f>
        <v>35 - 44</v>
      </c>
      <c r="K400" t="str">
        <f>IF(Table2[[#This Row],[Age]]&lt;=24, "Young Adults", IF(Table2[[#This Row],[Age]]&lt;=34, "Early Career", IF(Table2[[#This Row],[Age]]&lt;=44, "Mid Career", IF(Table2[[#This Row],[Age]]&lt;=54, "Mature Adults", "Pre-retirment"))))</f>
        <v>Mid Career</v>
      </c>
      <c r="L400" t="s">
        <v>15</v>
      </c>
      <c r="M400">
        <v>1</v>
      </c>
      <c r="N400" t="str">
        <f t="shared" si="6"/>
        <v>Light User</v>
      </c>
    </row>
    <row r="401" spans="1:14" x14ac:dyDescent="0.25">
      <c r="A401">
        <v>400</v>
      </c>
      <c r="B401" t="s">
        <v>14</v>
      </c>
      <c r="C401" t="s">
        <v>12</v>
      </c>
      <c r="D401">
        <v>49</v>
      </c>
      <c r="E401">
        <v>1.5</v>
      </c>
      <c r="F401">
        <v>571</v>
      </c>
      <c r="G401">
        <v>10</v>
      </c>
      <c r="H401">
        <v>203</v>
      </c>
      <c r="I401">
        <v>29</v>
      </c>
      <c r="J401" t="str">
        <f>IF(Table2[[#This Row],[Age]]&lt;=24, "18 - 24", IF(Table2[[#This Row],[Age]]&lt;=34, "25 - 34", IF(Table2[[#This Row],[Age]]&lt;=44, "35 - 44", IF(Table2[[#This Row],[Age]]&lt;=54, "45 - 54", "55 - 59"))))</f>
        <v>25 - 34</v>
      </c>
      <c r="K401" t="str">
        <f>IF(Table2[[#This Row],[Age]]&lt;=24, "Young Adults", IF(Table2[[#This Row],[Age]]&lt;=34, "Early Career", IF(Table2[[#This Row],[Age]]&lt;=44, "Mid Career", IF(Table2[[#This Row],[Age]]&lt;=54, "Mature Adults", "Pre-retirment"))))</f>
        <v>Early Career</v>
      </c>
      <c r="L401" t="s">
        <v>13</v>
      </c>
      <c r="M401">
        <v>1</v>
      </c>
      <c r="N401" t="str">
        <f t="shared" si="6"/>
        <v>Light User</v>
      </c>
    </row>
    <row r="402" spans="1:14" x14ac:dyDescent="0.25">
      <c r="A402">
        <v>401</v>
      </c>
      <c r="B402" t="s">
        <v>16</v>
      </c>
      <c r="C402" t="s">
        <v>12</v>
      </c>
      <c r="D402">
        <v>522</v>
      </c>
      <c r="E402">
        <v>11.1</v>
      </c>
      <c r="F402">
        <v>2821</v>
      </c>
      <c r="G402">
        <v>86</v>
      </c>
      <c r="H402">
        <v>1891</v>
      </c>
      <c r="I402">
        <v>42</v>
      </c>
      <c r="J402" t="str">
        <f>IF(Table2[[#This Row],[Age]]&lt;=24, "18 - 24", IF(Table2[[#This Row],[Age]]&lt;=34, "25 - 34", IF(Table2[[#This Row],[Age]]&lt;=44, "35 - 44", IF(Table2[[#This Row],[Age]]&lt;=54, "45 - 54", "55 - 59"))))</f>
        <v>35 - 44</v>
      </c>
      <c r="K402" t="str">
        <f>IF(Table2[[#This Row],[Age]]&lt;=24, "Young Adults", IF(Table2[[#This Row],[Age]]&lt;=34, "Early Career", IF(Table2[[#This Row],[Age]]&lt;=44, "Mid Career", IF(Table2[[#This Row],[Age]]&lt;=54, "Mature Adults", "Pre-retirment"))))</f>
        <v>Mid Career</v>
      </c>
      <c r="L402" t="s">
        <v>13</v>
      </c>
      <c r="M402">
        <v>5</v>
      </c>
      <c r="N402" t="str">
        <f t="shared" si="6"/>
        <v>Heavy User</v>
      </c>
    </row>
    <row r="403" spans="1:14" x14ac:dyDescent="0.25">
      <c r="A403">
        <v>402</v>
      </c>
      <c r="B403" t="s">
        <v>11</v>
      </c>
      <c r="C403" t="s">
        <v>12</v>
      </c>
      <c r="D403">
        <v>97</v>
      </c>
      <c r="E403">
        <v>2.7</v>
      </c>
      <c r="F403">
        <v>612</v>
      </c>
      <c r="G403">
        <v>36</v>
      </c>
      <c r="H403">
        <v>508</v>
      </c>
      <c r="I403">
        <v>53</v>
      </c>
      <c r="J403" t="str">
        <f>IF(Table2[[#This Row],[Age]]&lt;=24, "18 - 24", IF(Table2[[#This Row],[Age]]&lt;=34, "25 - 34", IF(Table2[[#This Row],[Age]]&lt;=44, "35 - 44", IF(Table2[[#This Row],[Age]]&lt;=54, "45 - 54", "55 - 59"))))</f>
        <v>45 - 54</v>
      </c>
      <c r="K403" t="str">
        <f>IF(Table2[[#This Row],[Age]]&lt;=24, "Young Adults", IF(Table2[[#This Row],[Age]]&lt;=34, "Early Career", IF(Table2[[#This Row],[Age]]&lt;=44, "Mid Career", IF(Table2[[#This Row],[Age]]&lt;=54, "Mature Adults", "Pre-retirment"))))</f>
        <v>Mature Adults</v>
      </c>
      <c r="L403" t="s">
        <v>13</v>
      </c>
      <c r="M403">
        <v>2</v>
      </c>
      <c r="N403" t="str">
        <f t="shared" si="6"/>
        <v>Light User</v>
      </c>
    </row>
    <row r="404" spans="1:14" x14ac:dyDescent="0.25">
      <c r="A404">
        <v>403</v>
      </c>
      <c r="B404" t="s">
        <v>17</v>
      </c>
      <c r="C404" t="s">
        <v>18</v>
      </c>
      <c r="D404">
        <v>411</v>
      </c>
      <c r="E404">
        <v>7.4</v>
      </c>
      <c r="F404">
        <v>1960</v>
      </c>
      <c r="G404">
        <v>71</v>
      </c>
      <c r="H404">
        <v>1264</v>
      </c>
      <c r="I404">
        <v>40</v>
      </c>
      <c r="J404" t="str">
        <f>IF(Table2[[#This Row],[Age]]&lt;=24, "18 - 24", IF(Table2[[#This Row],[Age]]&lt;=34, "25 - 34", IF(Table2[[#This Row],[Age]]&lt;=44, "35 - 44", IF(Table2[[#This Row],[Age]]&lt;=54, "45 - 54", "55 - 59"))))</f>
        <v>35 - 44</v>
      </c>
      <c r="K404" t="str">
        <f>IF(Table2[[#This Row],[Age]]&lt;=24, "Young Adults", IF(Table2[[#This Row],[Age]]&lt;=34, "Early Career", IF(Table2[[#This Row],[Age]]&lt;=44, "Mid Career", IF(Table2[[#This Row],[Age]]&lt;=54, "Mature Adults", "Pre-retirment"))))</f>
        <v>Mid Career</v>
      </c>
      <c r="L404" t="s">
        <v>13</v>
      </c>
      <c r="M404">
        <v>4</v>
      </c>
      <c r="N404" t="str">
        <f t="shared" si="6"/>
        <v>Heavy User</v>
      </c>
    </row>
    <row r="405" spans="1:14" x14ac:dyDescent="0.25">
      <c r="A405">
        <v>404</v>
      </c>
      <c r="B405" t="s">
        <v>19</v>
      </c>
      <c r="C405" t="s">
        <v>12</v>
      </c>
      <c r="D405">
        <v>566</v>
      </c>
      <c r="E405">
        <v>8.6</v>
      </c>
      <c r="F405">
        <v>2595</v>
      </c>
      <c r="G405">
        <v>89</v>
      </c>
      <c r="H405">
        <v>1657</v>
      </c>
      <c r="I405">
        <v>51</v>
      </c>
      <c r="J405" t="str">
        <f>IF(Table2[[#This Row],[Age]]&lt;=24, "18 - 24", IF(Table2[[#This Row],[Age]]&lt;=34, "25 - 34", IF(Table2[[#This Row],[Age]]&lt;=44, "35 - 44", IF(Table2[[#This Row],[Age]]&lt;=54, "45 - 54", "55 - 59"))))</f>
        <v>45 - 54</v>
      </c>
      <c r="K405" t="str">
        <f>IF(Table2[[#This Row],[Age]]&lt;=24, "Young Adults", IF(Table2[[#This Row],[Age]]&lt;=34, "Early Career", IF(Table2[[#This Row],[Age]]&lt;=44, "Mid Career", IF(Table2[[#This Row],[Age]]&lt;=54, "Mature Adults", "Pre-retirment"))))</f>
        <v>Mature Adults</v>
      </c>
      <c r="L405" t="s">
        <v>15</v>
      </c>
      <c r="M405">
        <v>5</v>
      </c>
      <c r="N405" t="str">
        <f t="shared" si="6"/>
        <v>Heavy User</v>
      </c>
    </row>
    <row r="406" spans="1:14" x14ac:dyDescent="0.25">
      <c r="A406">
        <v>405</v>
      </c>
      <c r="B406" t="s">
        <v>17</v>
      </c>
      <c r="C406" t="s">
        <v>18</v>
      </c>
      <c r="D406">
        <v>559</v>
      </c>
      <c r="E406">
        <v>8.1999999999999993</v>
      </c>
      <c r="F406">
        <v>2618</v>
      </c>
      <c r="G406">
        <v>84</v>
      </c>
      <c r="H406">
        <v>2102</v>
      </c>
      <c r="I406">
        <v>22</v>
      </c>
      <c r="J406" t="str">
        <f>IF(Table2[[#This Row],[Age]]&lt;=24, "18 - 24", IF(Table2[[#This Row],[Age]]&lt;=34, "25 - 34", IF(Table2[[#This Row],[Age]]&lt;=44, "35 - 44", IF(Table2[[#This Row],[Age]]&lt;=54, "45 - 54", "55 - 59"))))</f>
        <v>18 - 24</v>
      </c>
      <c r="K406" t="str">
        <f>IF(Table2[[#This Row],[Age]]&lt;=24, "Young Adults", IF(Table2[[#This Row],[Age]]&lt;=34, "Early Career", IF(Table2[[#This Row],[Age]]&lt;=44, "Mid Career", IF(Table2[[#This Row],[Age]]&lt;=54, "Mature Adults", "Pre-retirment"))))</f>
        <v>Young Adults</v>
      </c>
      <c r="L406" t="s">
        <v>15</v>
      </c>
      <c r="M406">
        <v>5</v>
      </c>
      <c r="N406" t="str">
        <f t="shared" si="6"/>
        <v>Heavy User</v>
      </c>
    </row>
    <row r="407" spans="1:14" x14ac:dyDescent="0.25">
      <c r="A407">
        <v>406</v>
      </c>
      <c r="B407" t="s">
        <v>11</v>
      </c>
      <c r="C407" t="s">
        <v>12</v>
      </c>
      <c r="D407">
        <v>478</v>
      </c>
      <c r="E407">
        <v>7.3</v>
      </c>
      <c r="F407">
        <v>2340</v>
      </c>
      <c r="G407">
        <v>69</v>
      </c>
      <c r="H407">
        <v>1017</v>
      </c>
      <c r="I407">
        <v>43</v>
      </c>
      <c r="J407" t="str">
        <f>IF(Table2[[#This Row],[Age]]&lt;=24, "18 - 24", IF(Table2[[#This Row],[Age]]&lt;=34, "25 - 34", IF(Table2[[#This Row],[Age]]&lt;=44, "35 - 44", IF(Table2[[#This Row],[Age]]&lt;=54, "45 - 54", "55 - 59"))))</f>
        <v>35 - 44</v>
      </c>
      <c r="K407" t="str">
        <f>IF(Table2[[#This Row],[Age]]&lt;=24, "Young Adults", IF(Table2[[#This Row],[Age]]&lt;=34, "Early Career", IF(Table2[[#This Row],[Age]]&lt;=44, "Mid Career", IF(Table2[[#This Row],[Age]]&lt;=54, "Mature Adults", "Pre-retirment"))))</f>
        <v>Mid Career</v>
      </c>
      <c r="L407" t="s">
        <v>15</v>
      </c>
      <c r="M407">
        <v>4</v>
      </c>
      <c r="N407" t="str">
        <f t="shared" si="6"/>
        <v>Heavy User</v>
      </c>
    </row>
    <row r="408" spans="1:14" x14ac:dyDescent="0.25">
      <c r="A408">
        <v>407</v>
      </c>
      <c r="B408" t="s">
        <v>16</v>
      </c>
      <c r="C408" t="s">
        <v>12</v>
      </c>
      <c r="D408">
        <v>147</v>
      </c>
      <c r="E408">
        <v>3.2</v>
      </c>
      <c r="F408">
        <v>994</v>
      </c>
      <c r="G408">
        <v>33</v>
      </c>
      <c r="H408">
        <v>567</v>
      </c>
      <c r="I408">
        <v>25</v>
      </c>
      <c r="J408" t="str">
        <f>IF(Table2[[#This Row],[Age]]&lt;=24, "18 - 24", IF(Table2[[#This Row],[Age]]&lt;=34, "25 - 34", IF(Table2[[#This Row],[Age]]&lt;=44, "35 - 44", IF(Table2[[#This Row],[Age]]&lt;=54, "45 - 54", "55 - 59"))))</f>
        <v>25 - 34</v>
      </c>
      <c r="K408" t="str">
        <f>IF(Table2[[#This Row],[Age]]&lt;=24, "Young Adults", IF(Table2[[#This Row],[Age]]&lt;=34, "Early Career", IF(Table2[[#This Row],[Age]]&lt;=44, "Mid Career", IF(Table2[[#This Row],[Age]]&lt;=54, "Mature Adults", "Pre-retirment"))))</f>
        <v>Early Career</v>
      </c>
      <c r="L408" t="s">
        <v>15</v>
      </c>
      <c r="M408">
        <v>2</v>
      </c>
      <c r="N408" t="str">
        <f t="shared" si="6"/>
        <v>Light User</v>
      </c>
    </row>
    <row r="409" spans="1:14" x14ac:dyDescent="0.25">
      <c r="A409">
        <v>408</v>
      </c>
      <c r="B409" t="s">
        <v>14</v>
      </c>
      <c r="C409" t="s">
        <v>12</v>
      </c>
      <c r="D409">
        <v>395</v>
      </c>
      <c r="E409">
        <v>7.3</v>
      </c>
      <c r="F409">
        <v>2291</v>
      </c>
      <c r="G409">
        <v>61</v>
      </c>
      <c r="H409">
        <v>1049</v>
      </c>
      <c r="I409">
        <v>55</v>
      </c>
      <c r="J409" t="str">
        <f>IF(Table2[[#This Row],[Age]]&lt;=24, "18 - 24", IF(Table2[[#This Row],[Age]]&lt;=34, "25 - 34", IF(Table2[[#This Row],[Age]]&lt;=44, "35 - 44", IF(Table2[[#This Row],[Age]]&lt;=54, "45 - 54", "55 - 59"))))</f>
        <v>55 - 59</v>
      </c>
      <c r="K409" t="str">
        <f>IF(Table2[[#This Row],[Age]]&lt;=24, "Young Adults", IF(Table2[[#This Row],[Age]]&lt;=34, "Early Career", IF(Table2[[#This Row],[Age]]&lt;=44, "Mid Career", IF(Table2[[#This Row],[Age]]&lt;=54, "Mature Adults", "Pre-retirment"))))</f>
        <v>Pre-retirment</v>
      </c>
      <c r="L409" t="s">
        <v>15</v>
      </c>
      <c r="M409">
        <v>4</v>
      </c>
      <c r="N409" t="str">
        <f t="shared" si="6"/>
        <v>Heavy User</v>
      </c>
    </row>
    <row r="410" spans="1:14" x14ac:dyDescent="0.25">
      <c r="A410">
        <v>409</v>
      </c>
      <c r="B410" t="s">
        <v>19</v>
      </c>
      <c r="C410" t="s">
        <v>12</v>
      </c>
      <c r="D410">
        <v>357</v>
      </c>
      <c r="E410">
        <v>7.8</v>
      </c>
      <c r="F410">
        <v>2289</v>
      </c>
      <c r="G410">
        <v>74</v>
      </c>
      <c r="H410">
        <v>1242</v>
      </c>
      <c r="I410">
        <v>22</v>
      </c>
      <c r="J410" t="str">
        <f>IF(Table2[[#This Row],[Age]]&lt;=24, "18 - 24", IF(Table2[[#This Row],[Age]]&lt;=34, "25 - 34", IF(Table2[[#This Row],[Age]]&lt;=44, "35 - 44", IF(Table2[[#This Row],[Age]]&lt;=54, "45 - 54", "55 - 59"))))</f>
        <v>18 - 24</v>
      </c>
      <c r="K410" t="str">
        <f>IF(Table2[[#This Row],[Age]]&lt;=24, "Young Adults", IF(Table2[[#This Row],[Age]]&lt;=34, "Early Career", IF(Table2[[#This Row],[Age]]&lt;=44, "Mid Career", IF(Table2[[#This Row],[Age]]&lt;=54, "Mature Adults", "Pre-retirment"))))</f>
        <v>Young Adults</v>
      </c>
      <c r="L410" t="s">
        <v>15</v>
      </c>
      <c r="M410">
        <v>4</v>
      </c>
      <c r="N410" t="str">
        <f t="shared" si="6"/>
        <v>Heavy User</v>
      </c>
    </row>
    <row r="411" spans="1:14" x14ac:dyDescent="0.25">
      <c r="A411">
        <v>410</v>
      </c>
      <c r="B411" t="s">
        <v>11</v>
      </c>
      <c r="C411" t="s">
        <v>12</v>
      </c>
      <c r="D411">
        <v>405</v>
      </c>
      <c r="E411">
        <v>6.9</v>
      </c>
      <c r="F411">
        <v>2366</v>
      </c>
      <c r="G411">
        <v>61</v>
      </c>
      <c r="H411">
        <v>1434</v>
      </c>
      <c r="I411">
        <v>51</v>
      </c>
      <c r="J411" t="str">
        <f>IF(Table2[[#This Row],[Age]]&lt;=24, "18 - 24", IF(Table2[[#This Row],[Age]]&lt;=34, "25 - 34", IF(Table2[[#This Row],[Age]]&lt;=44, "35 - 44", IF(Table2[[#This Row],[Age]]&lt;=54, "45 - 54", "55 - 59"))))</f>
        <v>45 - 54</v>
      </c>
      <c r="K411" t="str">
        <f>IF(Table2[[#This Row],[Age]]&lt;=24, "Young Adults", IF(Table2[[#This Row],[Age]]&lt;=34, "Early Career", IF(Table2[[#This Row],[Age]]&lt;=44, "Mid Career", IF(Table2[[#This Row],[Age]]&lt;=54, "Mature Adults", "Pre-retirment"))))</f>
        <v>Mature Adults</v>
      </c>
      <c r="L411" t="s">
        <v>13</v>
      </c>
      <c r="M411">
        <v>4</v>
      </c>
      <c r="N411" t="str">
        <f t="shared" si="6"/>
        <v>Heavy User</v>
      </c>
    </row>
    <row r="412" spans="1:14" x14ac:dyDescent="0.25">
      <c r="A412">
        <v>411</v>
      </c>
      <c r="B412" t="s">
        <v>19</v>
      </c>
      <c r="C412" t="s">
        <v>12</v>
      </c>
      <c r="D412">
        <v>501</v>
      </c>
      <c r="E412">
        <v>11.8</v>
      </c>
      <c r="F412">
        <v>2790</v>
      </c>
      <c r="G412">
        <v>86</v>
      </c>
      <c r="H412">
        <v>2074</v>
      </c>
      <c r="I412">
        <v>31</v>
      </c>
      <c r="J412" t="str">
        <f>IF(Table2[[#This Row],[Age]]&lt;=24, "18 - 24", IF(Table2[[#This Row],[Age]]&lt;=34, "25 - 34", IF(Table2[[#This Row],[Age]]&lt;=44, "35 - 44", IF(Table2[[#This Row],[Age]]&lt;=54, "45 - 54", "55 - 59"))))</f>
        <v>25 - 34</v>
      </c>
      <c r="K412" t="str">
        <f>IF(Table2[[#This Row],[Age]]&lt;=24, "Young Adults", IF(Table2[[#This Row],[Age]]&lt;=34, "Early Career", IF(Table2[[#This Row],[Age]]&lt;=44, "Mid Career", IF(Table2[[#This Row],[Age]]&lt;=54, "Mature Adults", "Pre-retirment"))))</f>
        <v>Early Career</v>
      </c>
      <c r="L412" t="s">
        <v>15</v>
      </c>
      <c r="M412">
        <v>5</v>
      </c>
      <c r="N412" t="str">
        <f t="shared" si="6"/>
        <v>Heavy User</v>
      </c>
    </row>
    <row r="413" spans="1:14" x14ac:dyDescent="0.25">
      <c r="A413">
        <v>412</v>
      </c>
      <c r="B413" t="s">
        <v>16</v>
      </c>
      <c r="C413" t="s">
        <v>12</v>
      </c>
      <c r="D413">
        <v>575</v>
      </c>
      <c r="E413">
        <v>8.1999999999999993</v>
      </c>
      <c r="F413">
        <v>2918</v>
      </c>
      <c r="G413">
        <v>88</v>
      </c>
      <c r="H413">
        <v>1928</v>
      </c>
      <c r="I413">
        <v>50</v>
      </c>
      <c r="J413" t="str">
        <f>IF(Table2[[#This Row],[Age]]&lt;=24, "18 - 24", IF(Table2[[#This Row],[Age]]&lt;=34, "25 - 34", IF(Table2[[#This Row],[Age]]&lt;=44, "35 - 44", IF(Table2[[#This Row],[Age]]&lt;=54, "45 - 54", "55 - 59"))))</f>
        <v>45 - 54</v>
      </c>
      <c r="K413" t="str">
        <f>IF(Table2[[#This Row],[Age]]&lt;=24, "Young Adults", IF(Table2[[#This Row],[Age]]&lt;=34, "Early Career", IF(Table2[[#This Row],[Age]]&lt;=44, "Mid Career", IF(Table2[[#This Row],[Age]]&lt;=54, "Mature Adults", "Pre-retirment"))))</f>
        <v>Mature Adults</v>
      </c>
      <c r="L413" t="s">
        <v>13</v>
      </c>
      <c r="M413">
        <v>5</v>
      </c>
      <c r="N413" t="str">
        <f t="shared" si="6"/>
        <v>Heavy User</v>
      </c>
    </row>
    <row r="414" spans="1:14" x14ac:dyDescent="0.25">
      <c r="A414">
        <v>413</v>
      </c>
      <c r="B414" t="s">
        <v>14</v>
      </c>
      <c r="C414" t="s">
        <v>12</v>
      </c>
      <c r="D414">
        <v>257</v>
      </c>
      <c r="E414">
        <v>5.0999999999999996</v>
      </c>
      <c r="F414">
        <v>1692</v>
      </c>
      <c r="G414">
        <v>46</v>
      </c>
      <c r="H414">
        <v>769</v>
      </c>
      <c r="I414">
        <v>52</v>
      </c>
      <c r="J414" t="str">
        <f>IF(Table2[[#This Row],[Age]]&lt;=24, "18 - 24", IF(Table2[[#This Row],[Age]]&lt;=34, "25 - 34", IF(Table2[[#This Row],[Age]]&lt;=44, "35 - 44", IF(Table2[[#This Row],[Age]]&lt;=54, "45 - 54", "55 - 59"))))</f>
        <v>45 - 54</v>
      </c>
      <c r="K414" t="str">
        <f>IF(Table2[[#This Row],[Age]]&lt;=24, "Young Adults", IF(Table2[[#This Row],[Age]]&lt;=34, "Early Career", IF(Table2[[#This Row],[Age]]&lt;=44, "Mid Career", IF(Table2[[#This Row],[Age]]&lt;=54, "Mature Adults", "Pre-retirment"))))</f>
        <v>Mature Adults</v>
      </c>
      <c r="L414" t="s">
        <v>15</v>
      </c>
      <c r="M414">
        <v>3</v>
      </c>
      <c r="N414" t="str">
        <f t="shared" si="6"/>
        <v>Moderate User</v>
      </c>
    </row>
    <row r="415" spans="1:14" x14ac:dyDescent="0.25">
      <c r="A415">
        <v>414</v>
      </c>
      <c r="B415" t="s">
        <v>17</v>
      </c>
      <c r="C415" t="s">
        <v>18</v>
      </c>
      <c r="D415">
        <v>270</v>
      </c>
      <c r="E415">
        <v>5</v>
      </c>
      <c r="F415">
        <v>1532</v>
      </c>
      <c r="G415">
        <v>51</v>
      </c>
      <c r="H415">
        <v>957</v>
      </c>
      <c r="I415">
        <v>35</v>
      </c>
      <c r="J415" t="str">
        <f>IF(Table2[[#This Row],[Age]]&lt;=24, "18 - 24", IF(Table2[[#This Row],[Age]]&lt;=34, "25 - 34", IF(Table2[[#This Row],[Age]]&lt;=44, "35 - 44", IF(Table2[[#This Row],[Age]]&lt;=54, "45 - 54", "55 - 59"))))</f>
        <v>35 - 44</v>
      </c>
      <c r="K415" t="str">
        <f>IF(Table2[[#This Row],[Age]]&lt;=24, "Young Adults", IF(Table2[[#This Row],[Age]]&lt;=34, "Early Career", IF(Table2[[#This Row],[Age]]&lt;=44, "Mid Career", IF(Table2[[#This Row],[Age]]&lt;=54, "Mature Adults", "Pre-retirment"))))</f>
        <v>Mid Career</v>
      </c>
      <c r="L415" t="s">
        <v>13</v>
      </c>
      <c r="M415">
        <v>3</v>
      </c>
      <c r="N415" t="str">
        <f t="shared" si="6"/>
        <v>Moderate User</v>
      </c>
    </row>
    <row r="416" spans="1:14" x14ac:dyDescent="0.25">
      <c r="A416">
        <v>415</v>
      </c>
      <c r="B416" t="s">
        <v>11</v>
      </c>
      <c r="C416" t="s">
        <v>12</v>
      </c>
      <c r="D416">
        <v>116</v>
      </c>
      <c r="E416">
        <v>2</v>
      </c>
      <c r="F416">
        <v>1171</v>
      </c>
      <c r="G416">
        <v>22</v>
      </c>
      <c r="H416">
        <v>573</v>
      </c>
      <c r="I416">
        <v>33</v>
      </c>
      <c r="J416" t="str">
        <f>IF(Table2[[#This Row],[Age]]&lt;=24, "18 - 24", IF(Table2[[#This Row],[Age]]&lt;=34, "25 - 34", IF(Table2[[#This Row],[Age]]&lt;=44, "35 - 44", IF(Table2[[#This Row],[Age]]&lt;=54, "45 - 54", "55 - 59"))))</f>
        <v>25 - 34</v>
      </c>
      <c r="K416" t="str">
        <f>IF(Table2[[#This Row],[Age]]&lt;=24, "Young Adults", IF(Table2[[#This Row],[Age]]&lt;=34, "Early Career", IF(Table2[[#This Row],[Age]]&lt;=44, "Mid Career", IF(Table2[[#This Row],[Age]]&lt;=54, "Mature Adults", "Pre-retirment"))))</f>
        <v>Early Career</v>
      </c>
      <c r="L416" t="s">
        <v>15</v>
      </c>
      <c r="M416">
        <v>2</v>
      </c>
      <c r="N416" t="str">
        <f t="shared" si="6"/>
        <v>Light User</v>
      </c>
    </row>
    <row r="417" spans="1:14" x14ac:dyDescent="0.25">
      <c r="A417">
        <v>416</v>
      </c>
      <c r="B417" t="s">
        <v>17</v>
      </c>
      <c r="C417" t="s">
        <v>18</v>
      </c>
      <c r="D417">
        <v>98</v>
      </c>
      <c r="E417">
        <v>2.2999999999999998</v>
      </c>
      <c r="F417">
        <v>608</v>
      </c>
      <c r="G417">
        <v>24</v>
      </c>
      <c r="H417">
        <v>394</v>
      </c>
      <c r="I417">
        <v>56</v>
      </c>
      <c r="J417" t="str">
        <f>IF(Table2[[#This Row],[Age]]&lt;=24, "18 - 24", IF(Table2[[#This Row],[Age]]&lt;=34, "25 - 34", IF(Table2[[#This Row],[Age]]&lt;=44, "35 - 44", IF(Table2[[#This Row],[Age]]&lt;=54, "45 - 54", "55 - 59"))))</f>
        <v>55 - 59</v>
      </c>
      <c r="K417" t="str">
        <f>IF(Table2[[#This Row],[Age]]&lt;=24, "Young Adults", IF(Table2[[#This Row],[Age]]&lt;=34, "Early Career", IF(Table2[[#This Row],[Age]]&lt;=44, "Mid Career", IF(Table2[[#This Row],[Age]]&lt;=54, "Mature Adults", "Pre-retirment"))))</f>
        <v>Pre-retirment</v>
      </c>
      <c r="L417" t="s">
        <v>13</v>
      </c>
      <c r="M417">
        <v>2</v>
      </c>
      <c r="N417" t="str">
        <f t="shared" si="6"/>
        <v>Light User</v>
      </c>
    </row>
    <row r="418" spans="1:14" x14ac:dyDescent="0.25">
      <c r="A418">
        <v>417</v>
      </c>
      <c r="B418" t="s">
        <v>16</v>
      </c>
      <c r="C418" t="s">
        <v>12</v>
      </c>
      <c r="D418">
        <v>264</v>
      </c>
      <c r="E418">
        <v>5.0999999999999996</v>
      </c>
      <c r="F418">
        <v>1293</v>
      </c>
      <c r="G418">
        <v>52</v>
      </c>
      <c r="H418">
        <v>737</v>
      </c>
      <c r="I418">
        <v>27</v>
      </c>
      <c r="J418" t="str">
        <f>IF(Table2[[#This Row],[Age]]&lt;=24, "18 - 24", IF(Table2[[#This Row],[Age]]&lt;=34, "25 - 34", IF(Table2[[#This Row],[Age]]&lt;=44, "35 - 44", IF(Table2[[#This Row],[Age]]&lt;=54, "45 - 54", "55 - 59"))))</f>
        <v>25 - 34</v>
      </c>
      <c r="K418" t="str">
        <f>IF(Table2[[#This Row],[Age]]&lt;=24, "Young Adults", IF(Table2[[#This Row],[Age]]&lt;=34, "Early Career", IF(Table2[[#This Row],[Age]]&lt;=44, "Mid Career", IF(Table2[[#This Row],[Age]]&lt;=54, "Mature Adults", "Pre-retirment"))))</f>
        <v>Early Career</v>
      </c>
      <c r="L418" t="s">
        <v>15</v>
      </c>
      <c r="M418">
        <v>3</v>
      </c>
      <c r="N418" t="str">
        <f t="shared" si="6"/>
        <v>Moderate User</v>
      </c>
    </row>
    <row r="419" spans="1:14" x14ac:dyDescent="0.25">
      <c r="A419">
        <v>418</v>
      </c>
      <c r="B419" t="s">
        <v>19</v>
      </c>
      <c r="C419" t="s">
        <v>12</v>
      </c>
      <c r="D419">
        <v>572</v>
      </c>
      <c r="E419">
        <v>11.7</v>
      </c>
      <c r="F419">
        <v>2655</v>
      </c>
      <c r="G419">
        <v>91</v>
      </c>
      <c r="H419">
        <v>2481</v>
      </c>
      <c r="I419">
        <v>57</v>
      </c>
      <c r="J419" t="str">
        <f>IF(Table2[[#This Row],[Age]]&lt;=24, "18 - 24", IF(Table2[[#This Row],[Age]]&lt;=34, "25 - 34", IF(Table2[[#This Row],[Age]]&lt;=44, "35 - 44", IF(Table2[[#This Row],[Age]]&lt;=54, "45 - 54", "55 - 59"))))</f>
        <v>55 - 59</v>
      </c>
      <c r="K419" t="str">
        <f>IF(Table2[[#This Row],[Age]]&lt;=24, "Young Adults", IF(Table2[[#This Row],[Age]]&lt;=34, "Early Career", IF(Table2[[#This Row],[Age]]&lt;=44, "Mid Career", IF(Table2[[#This Row],[Age]]&lt;=54, "Mature Adults", "Pre-retirment"))))</f>
        <v>Pre-retirment</v>
      </c>
      <c r="L419" t="s">
        <v>15</v>
      </c>
      <c r="M419">
        <v>5</v>
      </c>
      <c r="N419" t="str">
        <f t="shared" si="6"/>
        <v>Heavy User</v>
      </c>
    </row>
    <row r="420" spans="1:14" x14ac:dyDescent="0.25">
      <c r="A420">
        <v>419</v>
      </c>
      <c r="B420" t="s">
        <v>16</v>
      </c>
      <c r="C420" t="s">
        <v>12</v>
      </c>
      <c r="D420">
        <v>202</v>
      </c>
      <c r="E420">
        <v>4.9000000000000004</v>
      </c>
      <c r="F420">
        <v>1549</v>
      </c>
      <c r="G420">
        <v>43</v>
      </c>
      <c r="H420">
        <v>964</v>
      </c>
      <c r="I420">
        <v>27</v>
      </c>
      <c r="J420" t="str">
        <f>IF(Table2[[#This Row],[Age]]&lt;=24, "18 - 24", IF(Table2[[#This Row],[Age]]&lt;=34, "25 - 34", IF(Table2[[#This Row],[Age]]&lt;=44, "35 - 44", IF(Table2[[#This Row],[Age]]&lt;=54, "45 - 54", "55 - 59"))))</f>
        <v>25 - 34</v>
      </c>
      <c r="K420" t="str">
        <f>IF(Table2[[#This Row],[Age]]&lt;=24, "Young Adults", IF(Table2[[#This Row],[Age]]&lt;=34, "Early Career", IF(Table2[[#This Row],[Age]]&lt;=44, "Mid Career", IF(Table2[[#This Row],[Age]]&lt;=54, "Mature Adults", "Pre-retirment"))))</f>
        <v>Early Career</v>
      </c>
      <c r="L420" t="s">
        <v>15</v>
      </c>
      <c r="M420">
        <v>3</v>
      </c>
      <c r="N420" t="str">
        <f t="shared" si="6"/>
        <v>Moderate User</v>
      </c>
    </row>
    <row r="421" spans="1:14" x14ac:dyDescent="0.25">
      <c r="A421">
        <v>420</v>
      </c>
      <c r="B421" t="s">
        <v>17</v>
      </c>
      <c r="C421" t="s">
        <v>18</v>
      </c>
      <c r="D421">
        <v>83</v>
      </c>
      <c r="E421">
        <v>1.4</v>
      </c>
      <c r="F421">
        <v>454</v>
      </c>
      <c r="G421">
        <v>11</v>
      </c>
      <c r="H421">
        <v>228</v>
      </c>
      <c r="I421">
        <v>46</v>
      </c>
      <c r="J421" t="str">
        <f>IF(Table2[[#This Row],[Age]]&lt;=24, "18 - 24", IF(Table2[[#This Row],[Age]]&lt;=34, "25 - 34", IF(Table2[[#This Row],[Age]]&lt;=44, "35 - 44", IF(Table2[[#This Row],[Age]]&lt;=54, "45 - 54", "55 - 59"))))</f>
        <v>45 - 54</v>
      </c>
      <c r="K421" t="str">
        <f>IF(Table2[[#This Row],[Age]]&lt;=24, "Young Adults", IF(Table2[[#This Row],[Age]]&lt;=34, "Early Career", IF(Table2[[#This Row],[Age]]&lt;=44, "Mid Career", IF(Table2[[#This Row],[Age]]&lt;=54, "Mature Adults", "Pre-retirment"))))</f>
        <v>Mature Adults</v>
      </c>
      <c r="L421" t="s">
        <v>13</v>
      </c>
      <c r="M421">
        <v>1</v>
      </c>
      <c r="N421" t="str">
        <f t="shared" si="6"/>
        <v>Light User</v>
      </c>
    </row>
    <row r="422" spans="1:14" x14ac:dyDescent="0.25">
      <c r="A422">
        <v>421</v>
      </c>
      <c r="B422" t="s">
        <v>17</v>
      </c>
      <c r="C422" t="s">
        <v>18</v>
      </c>
      <c r="D422">
        <v>32</v>
      </c>
      <c r="E422">
        <v>1.4</v>
      </c>
      <c r="F422">
        <v>416</v>
      </c>
      <c r="G422">
        <v>12</v>
      </c>
      <c r="H422">
        <v>198</v>
      </c>
      <c r="I422">
        <v>56</v>
      </c>
      <c r="J422" t="str">
        <f>IF(Table2[[#This Row],[Age]]&lt;=24, "18 - 24", IF(Table2[[#This Row],[Age]]&lt;=34, "25 - 34", IF(Table2[[#This Row],[Age]]&lt;=44, "35 - 44", IF(Table2[[#This Row],[Age]]&lt;=54, "45 - 54", "55 - 59"))))</f>
        <v>55 - 59</v>
      </c>
      <c r="K422" t="str">
        <f>IF(Table2[[#This Row],[Age]]&lt;=24, "Young Adults", IF(Table2[[#This Row],[Age]]&lt;=34, "Early Career", IF(Table2[[#This Row],[Age]]&lt;=44, "Mid Career", IF(Table2[[#This Row],[Age]]&lt;=54, "Mature Adults", "Pre-retirment"))))</f>
        <v>Pre-retirment</v>
      </c>
      <c r="L422" t="s">
        <v>13</v>
      </c>
      <c r="M422">
        <v>1</v>
      </c>
      <c r="N422" t="str">
        <f t="shared" si="6"/>
        <v>Light User</v>
      </c>
    </row>
    <row r="423" spans="1:14" x14ac:dyDescent="0.25">
      <c r="A423">
        <v>422</v>
      </c>
      <c r="B423" t="s">
        <v>17</v>
      </c>
      <c r="C423" t="s">
        <v>18</v>
      </c>
      <c r="D423">
        <v>168</v>
      </c>
      <c r="E423">
        <v>3.2</v>
      </c>
      <c r="F423">
        <v>716</v>
      </c>
      <c r="G423">
        <v>38</v>
      </c>
      <c r="H423">
        <v>414</v>
      </c>
      <c r="I423">
        <v>43</v>
      </c>
      <c r="J423" t="str">
        <f>IF(Table2[[#This Row],[Age]]&lt;=24, "18 - 24", IF(Table2[[#This Row],[Age]]&lt;=34, "25 - 34", IF(Table2[[#This Row],[Age]]&lt;=44, "35 - 44", IF(Table2[[#This Row],[Age]]&lt;=54, "45 - 54", "55 - 59"))))</f>
        <v>35 - 44</v>
      </c>
      <c r="K423" t="str">
        <f>IF(Table2[[#This Row],[Age]]&lt;=24, "Young Adults", IF(Table2[[#This Row],[Age]]&lt;=34, "Early Career", IF(Table2[[#This Row],[Age]]&lt;=44, "Mid Career", IF(Table2[[#This Row],[Age]]&lt;=54, "Mature Adults", "Pre-retirment"))))</f>
        <v>Mid Career</v>
      </c>
      <c r="L423" t="s">
        <v>13</v>
      </c>
      <c r="M423">
        <v>2</v>
      </c>
      <c r="N423" t="str">
        <f t="shared" si="6"/>
        <v>Light User</v>
      </c>
    </row>
    <row r="424" spans="1:14" x14ac:dyDescent="0.25">
      <c r="A424">
        <v>423</v>
      </c>
      <c r="B424" t="s">
        <v>17</v>
      </c>
      <c r="C424" t="s">
        <v>18</v>
      </c>
      <c r="D424">
        <v>416</v>
      </c>
      <c r="E424">
        <v>6.1</v>
      </c>
      <c r="F424">
        <v>2115</v>
      </c>
      <c r="G424">
        <v>71</v>
      </c>
      <c r="H424">
        <v>1041</v>
      </c>
      <c r="I424">
        <v>22</v>
      </c>
      <c r="J424" t="str">
        <f>IF(Table2[[#This Row],[Age]]&lt;=24, "18 - 24", IF(Table2[[#This Row],[Age]]&lt;=34, "25 - 34", IF(Table2[[#This Row],[Age]]&lt;=44, "35 - 44", IF(Table2[[#This Row],[Age]]&lt;=54, "45 - 54", "55 - 59"))))</f>
        <v>18 - 24</v>
      </c>
      <c r="K424" t="str">
        <f>IF(Table2[[#This Row],[Age]]&lt;=24, "Young Adults", IF(Table2[[#This Row],[Age]]&lt;=34, "Early Career", IF(Table2[[#This Row],[Age]]&lt;=44, "Mid Career", IF(Table2[[#This Row],[Age]]&lt;=54, "Mature Adults", "Pre-retirment"))))</f>
        <v>Young Adults</v>
      </c>
      <c r="L424" t="s">
        <v>15</v>
      </c>
      <c r="M424">
        <v>4</v>
      </c>
      <c r="N424" t="str">
        <f t="shared" si="6"/>
        <v>Heavy User</v>
      </c>
    </row>
    <row r="425" spans="1:14" x14ac:dyDescent="0.25">
      <c r="A425">
        <v>424</v>
      </c>
      <c r="B425" t="s">
        <v>16</v>
      </c>
      <c r="C425" t="s">
        <v>12</v>
      </c>
      <c r="D425">
        <v>46</v>
      </c>
      <c r="E425">
        <v>1.1000000000000001</v>
      </c>
      <c r="F425">
        <v>536</v>
      </c>
      <c r="G425">
        <v>18</v>
      </c>
      <c r="H425">
        <v>167</v>
      </c>
      <c r="I425">
        <v>28</v>
      </c>
      <c r="J425" t="str">
        <f>IF(Table2[[#This Row],[Age]]&lt;=24, "18 - 24", IF(Table2[[#This Row],[Age]]&lt;=34, "25 - 34", IF(Table2[[#This Row],[Age]]&lt;=44, "35 - 44", IF(Table2[[#This Row],[Age]]&lt;=54, "45 - 54", "55 - 59"))))</f>
        <v>25 - 34</v>
      </c>
      <c r="K425" t="str">
        <f>IF(Table2[[#This Row],[Age]]&lt;=24, "Young Adults", IF(Table2[[#This Row],[Age]]&lt;=34, "Early Career", IF(Table2[[#This Row],[Age]]&lt;=44, "Mid Career", IF(Table2[[#This Row],[Age]]&lt;=54, "Mature Adults", "Pre-retirment"))))</f>
        <v>Early Career</v>
      </c>
      <c r="L425" t="s">
        <v>15</v>
      </c>
      <c r="M425">
        <v>1</v>
      </c>
      <c r="N425" t="str">
        <f t="shared" si="6"/>
        <v>Light User</v>
      </c>
    </row>
    <row r="426" spans="1:14" x14ac:dyDescent="0.25">
      <c r="A426">
        <v>425</v>
      </c>
      <c r="B426" t="s">
        <v>14</v>
      </c>
      <c r="C426" t="s">
        <v>12</v>
      </c>
      <c r="D426">
        <v>201</v>
      </c>
      <c r="E426">
        <v>5</v>
      </c>
      <c r="F426">
        <v>1482</v>
      </c>
      <c r="G426">
        <v>59</v>
      </c>
      <c r="H426">
        <v>709</v>
      </c>
      <c r="I426">
        <v>24</v>
      </c>
      <c r="J426" t="str">
        <f>IF(Table2[[#This Row],[Age]]&lt;=24, "18 - 24", IF(Table2[[#This Row],[Age]]&lt;=34, "25 - 34", IF(Table2[[#This Row],[Age]]&lt;=44, "35 - 44", IF(Table2[[#This Row],[Age]]&lt;=54, "45 - 54", "55 - 59"))))</f>
        <v>18 - 24</v>
      </c>
      <c r="K426" t="str">
        <f>IF(Table2[[#This Row],[Age]]&lt;=24, "Young Adults", IF(Table2[[#This Row],[Age]]&lt;=34, "Early Career", IF(Table2[[#This Row],[Age]]&lt;=44, "Mid Career", IF(Table2[[#This Row],[Age]]&lt;=54, "Mature Adults", "Pre-retirment"))))</f>
        <v>Young Adults</v>
      </c>
      <c r="L426" t="s">
        <v>13</v>
      </c>
      <c r="M426">
        <v>3</v>
      </c>
      <c r="N426" t="str">
        <f t="shared" si="6"/>
        <v>Moderate User</v>
      </c>
    </row>
    <row r="427" spans="1:14" x14ac:dyDescent="0.25">
      <c r="A427">
        <v>426</v>
      </c>
      <c r="B427" t="s">
        <v>19</v>
      </c>
      <c r="C427" t="s">
        <v>12</v>
      </c>
      <c r="D427">
        <v>130</v>
      </c>
      <c r="E427">
        <v>2.8</v>
      </c>
      <c r="F427">
        <v>1062</v>
      </c>
      <c r="G427">
        <v>24</v>
      </c>
      <c r="H427">
        <v>579</v>
      </c>
      <c r="I427">
        <v>37</v>
      </c>
      <c r="J427" t="str">
        <f>IF(Table2[[#This Row],[Age]]&lt;=24, "18 - 24", IF(Table2[[#This Row],[Age]]&lt;=34, "25 - 34", IF(Table2[[#This Row],[Age]]&lt;=44, "35 - 44", IF(Table2[[#This Row],[Age]]&lt;=54, "45 - 54", "55 - 59"))))</f>
        <v>35 - 44</v>
      </c>
      <c r="K427" t="str">
        <f>IF(Table2[[#This Row],[Age]]&lt;=24, "Young Adults", IF(Table2[[#This Row],[Age]]&lt;=34, "Early Career", IF(Table2[[#This Row],[Age]]&lt;=44, "Mid Career", IF(Table2[[#This Row],[Age]]&lt;=54, "Mature Adults", "Pre-retirment"))))</f>
        <v>Mid Career</v>
      </c>
      <c r="L427" t="s">
        <v>13</v>
      </c>
      <c r="M427">
        <v>2</v>
      </c>
      <c r="N427" t="str">
        <f t="shared" si="6"/>
        <v>Light User</v>
      </c>
    </row>
    <row r="428" spans="1:14" x14ac:dyDescent="0.25">
      <c r="A428">
        <v>427</v>
      </c>
      <c r="B428" t="s">
        <v>14</v>
      </c>
      <c r="C428" t="s">
        <v>12</v>
      </c>
      <c r="D428">
        <v>98</v>
      </c>
      <c r="E428">
        <v>2.4</v>
      </c>
      <c r="F428">
        <v>747</v>
      </c>
      <c r="G428">
        <v>36</v>
      </c>
      <c r="H428">
        <v>403</v>
      </c>
      <c r="I428">
        <v>44</v>
      </c>
      <c r="J428" t="str">
        <f>IF(Table2[[#This Row],[Age]]&lt;=24, "18 - 24", IF(Table2[[#This Row],[Age]]&lt;=34, "25 - 34", IF(Table2[[#This Row],[Age]]&lt;=44, "35 - 44", IF(Table2[[#This Row],[Age]]&lt;=54, "45 - 54", "55 - 59"))))</f>
        <v>35 - 44</v>
      </c>
      <c r="K428" t="str">
        <f>IF(Table2[[#This Row],[Age]]&lt;=24, "Young Adults", IF(Table2[[#This Row],[Age]]&lt;=34, "Early Career", IF(Table2[[#This Row],[Age]]&lt;=44, "Mid Career", IF(Table2[[#This Row],[Age]]&lt;=54, "Mature Adults", "Pre-retirment"))))</f>
        <v>Mid Career</v>
      </c>
      <c r="L428" t="s">
        <v>15</v>
      </c>
      <c r="M428">
        <v>2</v>
      </c>
      <c r="N428" t="str">
        <f t="shared" si="6"/>
        <v>Light User</v>
      </c>
    </row>
    <row r="429" spans="1:14" x14ac:dyDescent="0.25">
      <c r="A429">
        <v>428</v>
      </c>
      <c r="B429" t="s">
        <v>14</v>
      </c>
      <c r="C429" t="s">
        <v>12</v>
      </c>
      <c r="D429">
        <v>105</v>
      </c>
      <c r="E429">
        <v>3.8</v>
      </c>
      <c r="F429">
        <v>967</v>
      </c>
      <c r="G429">
        <v>28</v>
      </c>
      <c r="H429">
        <v>489</v>
      </c>
      <c r="I429">
        <v>51</v>
      </c>
      <c r="J429" t="str">
        <f>IF(Table2[[#This Row],[Age]]&lt;=24, "18 - 24", IF(Table2[[#This Row],[Age]]&lt;=34, "25 - 34", IF(Table2[[#This Row],[Age]]&lt;=44, "35 - 44", IF(Table2[[#This Row],[Age]]&lt;=54, "45 - 54", "55 - 59"))))</f>
        <v>45 - 54</v>
      </c>
      <c r="K429" t="str">
        <f>IF(Table2[[#This Row],[Age]]&lt;=24, "Young Adults", IF(Table2[[#This Row],[Age]]&lt;=34, "Early Career", IF(Table2[[#This Row],[Age]]&lt;=44, "Mid Career", IF(Table2[[#This Row],[Age]]&lt;=54, "Mature Adults", "Pre-retirment"))))</f>
        <v>Mature Adults</v>
      </c>
      <c r="L429" t="s">
        <v>13</v>
      </c>
      <c r="M429">
        <v>2</v>
      </c>
      <c r="N429" t="str">
        <f t="shared" si="6"/>
        <v>Light User</v>
      </c>
    </row>
    <row r="430" spans="1:14" x14ac:dyDescent="0.25">
      <c r="A430">
        <v>429</v>
      </c>
      <c r="B430" t="s">
        <v>16</v>
      </c>
      <c r="C430" t="s">
        <v>12</v>
      </c>
      <c r="D430">
        <v>94</v>
      </c>
      <c r="E430">
        <v>2.2999999999999998</v>
      </c>
      <c r="F430">
        <v>1033</v>
      </c>
      <c r="G430">
        <v>33</v>
      </c>
      <c r="H430">
        <v>369</v>
      </c>
      <c r="I430">
        <v>58</v>
      </c>
      <c r="J430" t="str">
        <f>IF(Table2[[#This Row],[Age]]&lt;=24, "18 - 24", IF(Table2[[#This Row],[Age]]&lt;=34, "25 - 34", IF(Table2[[#This Row],[Age]]&lt;=44, "35 - 44", IF(Table2[[#This Row],[Age]]&lt;=54, "45 - 54", "55 - 59"))))</f>
        <v>55 - 59</v>
      </c>
      <c r="K430" t="str">
        <f>IF(Table2[[#This Row],[Age]]&lt;=24, "Young Adults", IF(Table2[[#This Row],[Age]]&lt;=34, "Early Career", IF(Table2[[#This Row],[Age]]&lt;=44, "Mid Career", IF(Table2[[#This Row],[Age]]&lt;=54, "Mature Adults", "Pre-retirment"))))</f>
        <v>Pre-retirment</v>
      </c>
      <c r="L430" t="s">
        <v>13</v>
      </c>
      <c r="M430">
        <v>2</v>
      </c>
      <c r="N430" t="str">
        <f t="shared" si="6"/>
        <v>Light User</v>
      </c>
    </row>
    <row r="431" spans="1:14" x14ac:dyDescent="0.25">
      <c r="A431">
        <v>430</v>
      </c>
      <c r="B431" t="s">
        <v>16</v>
      </c>
      <c r="C431" t="s">
        <v>12</v>
      </c>
      <c r="D431">
        <v>540</v>
      </c>
      <c r="E431">
        <v>10.1</v>
      </c>
      <c r="F431">
        <v>2757</v>
      </c>
      <c r="G431">
        <v>90</v>
      </c>
      <c r="H431">
        <v>2180</v>
      </c>
      <c r="I431">
        <v>37</v>
      </c>
      <c r="J431" t="str">
        <f>IF(Table2[[#This Row],[Age]]&lt;=24, "18 - 24", IF(Table2[[#This Row],[Age]]&lt;=34, "25 - 34", IF(Table2[[#This Row],[Age]]&lt;=44, "35 - 44", IF(Table2[[#This Row],[Age]]&lt;=54, "45 - 54", "55 - 59"))))</f>
        <v>35 - 44</v>
      </c>
      <c r="K431" t="str">
        <f>IF(Table2[[#This Row],[Age]]&lt;=24, "Young Adults", IF(Table2[[#This Row],[Age]]&lt;=34, "Early Career", IF(Table2[[#This Row],[Age]]&lt;=44, "Mid Career", IF(Table2[[#This Row],[Age]]&lt;=54, "Mature Adults", "Pre-retirment"))))</f>
        <v>Mid Career</v>
      </c>
      <c r="L431" t="s">
        <v>13</v>
      </c>
      <c r="M431">
        <v>5</v>
      </c>
      <c r="N431" t="str">
        <f t="shared" si="6"/>
        <v>Heavy User</v>
      </c>
    </row>
    <row r="432" spans="1:14" x14ac:dyDescent="0.25">
      <c r="A432">
        <v>431</v>
      </c>
      <c r="B432" t="s">
        <v>17</v>
      </c>
      <c r="C432" t="s">
        <v>18</v>
      </c>
      <c r="D432">
        <v>266</v>
      </c>
      <c r="E432">
        <v>5.5</v>
      </c>
      <c r="F432">
        <v>1238</v>
      </c>
      <c r="G432">
        <v>59</v>
      </c>
      <c r="H432">
        <v>839</v>
      </c>
      <c r="I432">
        <v>22</v>
      </c>
      <c r="J432" t="str">
        <f>IF(Table2[[#This Row],[Age]]&lt;=24, "18 - 24", IF(Table2[[#This Row],[Age]]&lt;=34, "25 - 34", IF(Table2[[#This Row],[Age]]&lt;=44, "35 - 44", IF(Table2[[#This Row],[Age]]&lt;=54, "45 - 54", "55 - 59"))))</f>
        <v>18 - 24</v>
      </c>
      <c r="K432" t="str">
        <f>IF(Table2[[#This Row],[Age]]&lt;=24, "Young Adults", IF(Table2[[#This Row],[Age]]&lt;=34, "Early Career", IF(Table2[[#This Row],[Age]]&lt;=44, "Mid Career", IF(Table2[[#This Row],[Age]]&lt;=54, "Mature Adults", "Pre-retirment"))))</f>
        <v>Young Adults</v>
      </c>
      <c r="L432" t="s">
        <v>13</v>
      </c>
      <c r="M432">
        <v>3</v>
      </c>
      <c r="N432" t="str">
        <f t="shared" si="6"/>
        <v>Moderate User</v>
      </c>
    </row>
    <row r="433" spans="1:14" x14ac:dyDescent="0.25">
      <c r="A433">
        <v>432</v>
      </c>
      <c r="B433" t="s">
        <v>17</v>
      </c>
      <c r="C433" t="s">
        <v>18</v>
      </c>
      <c r="D433">
        <v>140</v>
      </c>
      <c r="E433">
        <v>3.8</v>
      </c>
      <c r="F433">
        <v>1137</v>
      </c>
      <c r="G433">
        <v>36</v>
      </c>
      <c r="H433">
        <v>506</v>
      </c>
      <c r="I433">
        <v>53</v>
      </c>
      <c r="J433" t="str">
        <f>IF(Table2[[#This Row],[Age]]&lt;=24, "18 - 24", IF(Table2[[#This Row],[Age]]&lt;=34, "25 - 34", IF(Table2[[#This Row],[Age]]&lt;=44, "35 - 44", IF(Table2[[#This Row],[Age]]&lt;=54, "45 - 54", "55 - 59"))))</f>
        <v>45 - 54</v>
      </c>
      <c r="K433" t="str">
        <f>IF(Table2[[#This Row],[Age]]&lt;=24, "Young Adults", IF(Table2[[#This Row],[Age]]&lt;=34, "Early Career", IF(Table2[[#This Row],[Age]]&lt;=44, "Mid Career", IF(Table2[[#This Row],[Age]]&lt;=54, "Mature Adults", "Pre-retirment"))))</f>
        <v>Mature Adults</v>
      </c>
      <c r="L433" t="s">
        <v>13</v>
      </c>
      <c r="M433">
        <v>2</v>
      </c>
      <c r="N433" t="str">
        <f t="shared" si="6"/>
        <v>Light User</v>
      </c>
    </row>
    <row r="434" spans="1:14" x14ac:dyDescent="0.25">
      <c r="A434">
        <v>433</v>
      </c>
      <c r="B434" t="s">
        <v>11</v>
      </c>
      <c r="C434" t="s">
        <v>12</v>
      </c>
      <c r="D434">
        <v>534</v>
      </c>
      <c r="E434">
        <v>10.4</v>
      </c>
      <c r="F434">
        <v>2672</v>
      </c>
      <c r="G434">
        <v>90</v>
      </c>
      <c r="H434">
        <v>1702</v>
      </c>
      <c r="I434">
        <v>51</v>
      </c>
      <c r="J434" t="str">
        <f>IF(Table2[[#This Row],[Age]]&lt;=24, "18 - 24", IF(Table2[[#This Row],[Age]]&lt;=34, "25 - 34", IF(Table2[[#This Row],[Age]]&lt;=44, "35 - 44", IF(Table2[[#This Row],[Age]]&lt;=54, "45 - 54", "55 - 59"))))</f>
        <v>45 - 54</v>
      </c>
      <c r="K434" t="str">
        <f>IF(Table2[[#This Row],[Age]]&lt;=24, "Young Adults", IF(Table2[[#This Row],[Age]]&lt;=34, "Early Career", IF(Table2[[#This Row],[Age]]&lt;=44, "Mid Career", IF(Table2[[#This Row],[Age]]&lt;=54, "Mature Adults", "Pre-retirment"))))</f>
        <v>Mature Adults</v>
      </c>
      <c r="L434" t="s">
        <v>13</v>
      </c>
      <c r="M434">
        <v>5</v>
      </c>
      <c r="N434" t="str">
        <f t="shared" si="6"/>
        <v>Heavy User</v>
      </c>
    </row>
    <row r="435" spans="1:14" x14ac:dyDescent="0.25">
      <c r="A435">
        <v>434</v>
      </c>
      <c r="B435" t="s">
        <v>14</v>
      </c>
      <c r="C435" t="s">
        <v>12</v>
      </c>
      <c r="D435">
        <v>46</v>
      </c>
      <c r="E435">
        <v>2</v>
      </c>
      <c r="F435">
        <v>309</v>
      </c>
      <c r="G435">
        <v>15</v>
      </c>
      <c r="H435">
        <v>116</v>
      </c>
      <c r="I435">
        <v>42</v>
      </c>
      <c r="J435" t="str">
        <f>IF(Table2[[#This Row],[Age]]&lt;=24, "18 - 24", IF(Table2[[#This Row],[Age]]&lt;=34, "25 - 34", IF(Table2[[#This Row],[Age]]&lt;=44, "35 - 44", IF(Table2[[#This Row],[Age]]&lt;=54, "45 - 54", "55 - 59"))))</f>
        <v>35 - 44</v>
      </c>
      <c r="K435" t="str">
        <f>IF(Table2[[#This Row],[Age]]&lt;=24, "Young Adults", IF(Table2[[#This Row],[Age]]&lt;=34, "Early Career", IF(Table2[[#This Row],[Age]]&lt;=44, "Mid Career", IF(Table2[[#This Row],[Age]]&lt;=54, "Mature Adults", "Pre-retirment"))))</f>
        <v>Mid Career</v>
      </c>
      <c r="L435" t="s">
        <v>13</v>
      </c>
      <c r="M435">
        <v>1</v>
      </c>
      <c r="N435" t="str">
        <f t="shared" si="6"/>
        <v>Light User</v>
      </c>
    </row>
    <row r="436" spans="1:14" x14ac:dyDescent="0.25">
      <c r="A436">
        <v>435</v>
      </c>
      <c r="B436" t="s">
        <v>17</v>
      </c>
      <c r="C436" t="s">
        <v>18</v>
      </c>
      <c r="D436">
        <v>581</v>
      </c>
      <c r="E436">
        <v>8.4</v>
      </c>
      <c r="F436">
        <v>2591</v>
      </c>
      <c r="G436">
        <v>99</v>
      </c>
      <c r="H436">
        <v>2304</v>
      </c>
      <c r="I436">
        <v>58</v>
      </c>
      <c r="J436" t="str">
        <f>IF(Table2[[#This Row],[Age]]&lt;=24, "18 - 24", IF(Table2[[#This Row],[Age]]&lt;=34, "25 - 34", IF(Table2[[#This Row],[Age]]&lt;=44, "35 - 44", IF(Table2[[#This Row],[Age]]&lt;=54, "45 - 54", "55 - 59"))))</f>
        <v>55 - 59</v>
      </c>
      <c r="K436" t="str">
        <f>IF(Table2[[#This Row],[Age]]&lt;=24, "Young Adults", IF(Table2[[#This Row],[Age]]&lt;=34, "Early Career", IF(Table2[[#This Row],[Age]]&lt;=44, "Mid Career", IF(Table2[[#This Row],[Age]]&lt;=54, "Mature Adults", "Pre-retirment"))))</f>
        <v>Pre-retirment</v>
      </c>
      <c r="L436" t="s">
        <v>13</v>
      </c>
      <c r="M436">
        <v>5</v>
      </c>
      <c r="N436" t="str">
        <f t="shared" si="6"/>
        <v>Heavy User</v>
      </c>
    </row>
    <row r="437" spans="1:14" x14ac:dyDescent="0.25">
      <c r="A437">
        <v>436</v>
      </c>
      <c r="B437" t="s">
        <v>16</v>
      </c>
      <c r="C437" t="s">
        <v>12</v>
      </c>
      <c r="D437">
        <v>105</v>
      </c>
      <c r="E437">
        <v>3.4</v>
      </c>
      <c r="F437">
        <v>798</v>
      </c>
      <c r="G437">
        <v>21</v>
      </c>
      <c r="H437">
        <v>467</v>
      </c>
      <c r="I437">
        <v>34</v>
      </c>
      <c r="J437" t="str">
        <f>IF(Table2[[#This Row],[Age]]&lt;=24, "18 - 24", IF(Table2[[#This Row],[Age]]&lt;=34, "25 - 34", IF(Table2[[#This Row],[Age]]&lt;=44, "35 - 44", IF(Table2[[#This Row],[Age]]&lt;=54, "45 - 54", "55 - 59"))))</f>
        <v>25 - 34</v>
      </c>
      <c r="K437" t="str">
        <f>IF(Table2[[#This Row],[Age]]&lt;=24, "Young Adults", IF(Table2[[#This Row],[Age]]&lt;=34, "Early Career", IF(Table2[[#This Row],[Age]]&lt;=44, "Mid Career", IF(Table2[[#This Row],[Age]]&lt;=54, "Mature Adults", "Pre-retirment"))))</f>
        <v>Early Career</v>
      </c>
      <c r="L437" t="s">
        <v>15</v>
      </c>
      <c r="M437">
        <v>2</v>
      </c>
      <c r="N437" t="str">
        <f t="shared" si="6"/>
        <v>Light User</v>
      </c>
    </row>
    <row r="438" spans="1:14" x14ac:dyDescent="0.25">
      <c r="A438">
        <v>437</v>
      </c>
      <c r="B438" t="s">
        <v>14</v>
      </c>
      <c r="C438" t="s">
        <v>12</v>
      </c>
      <c r="D438">
        <v>221</v>
      </c>
      <c r="E438">
        <v>4.4000000000000004</v>
      </c>
      <c r="F438">
        <v>1341</v>
      </c>
      <c r="G438">
        <v>46</v>
      </c>
      <c r="H438">
        <v>862</v>
      </c>
      <c r="I438">
        <v>20</v>
      </c>
      <c r="J438" t="str">
        <f>IF(Table2[[#This Row],[Age]]&lt;=24, "18 - 24", IF(Table2[[#This Row],[Age]]&lt;=34, "25 - 34", IF(Table2[[#This Row],[Age]]&lt;=44, "35 - 44", IF(Table2[[#This Row],[Age]]&lt;=54, "45 - 54", "55 - 59"))))</f>
        <v>18 - 24</v>
      </c>
      <c r="K438" t="str">
        <f>IF(Table2[[#This Row],[Age]]&lt;=24, "Young Adults", IF(Table2[[#This Row],[Age]]&lt;=34, "Early Career", IF(Table2[[#This Row],[Age]]&lt;=44, "Mid Career", IF(Table2[[#This Row],[Age]]&lt;=54, "Mature Adults", "Pre-retirment"))))</f>
        <v>Young Adults</v>
      </c>
      <c r="L438" t="s">
        <v>13</v>
      </c>
      <c r="M438">
        <v>3</v>
      </c>
      <c r="N438" t="str">
        <f t="shared" si="6"/>
        <v>Moderate User</v>
      </c>
    </row>
    <row r="439" spans="1:14" x14ac:dyDescent="0.25">
      <c r="A439">
        <v>438</v>
      </c>
      <c r="B439" t="s">
        <v>17</v>
      </c>
      <c r="C439" t="s">
        <v>18</v>
      </c>
      <c r="D439">
        <v>41</v>
      </c>
      <c r="E439">
        <v>1.7</v>
      </c>
      <c r="F439">
        <v>408</v>
      </c>
      <c r="G439">
        <v>16</v>
      </c>
      <c r="H439">
        <v>291</v>
      </c>
      <c r="I439">
        <v>34</v>
      </c>
      <c r="J439" t="str">
        <f>IF(Table2[[#This Row],[Age]]&lt;=24, "18 - 24", IF(Table2[[#This Row],[Age]]&lt;=34, "25 - 34", IF(Table2[[#This Row],[Age]]&lt;=44, "35 - 44", IF(Table2[[#This Row],[Age]]&lt;=54, "45 - 54", "55 - 59"))))</f>
        <v>25 - 34</v>
      </c>
      <c r="K439" t="str">
        <f>IF(Table2[[#This Row],[Age]]&lt;=24, "Young Adults", IF(Table2[[#This Row],[Age]]&lt;=34, "Early Career", IF(Table2[[#This Row],[Age]]&lt;=44, "Mid Career", IF(Table2[[#This Row],[Age]]&lt;=54, "Mature Adults", "Pre-retirment"))))</f>
        <v>Early Career</v>
      </c>
      <c r="L439" t="s">
        <v>13</v>
      </c>
      <c r="M439">
        <v>1</v>
      </c>
      <c r="N439" t="str">
        <f t="shared" si="6"/>
        <v>Light User</v>
      </c>
    </row>
    <row r="440" spans="1:14" x14ac:dyDescent="0.25">
      <c r="A440">
        <v>439</v>
      </c>
      <c r="B440" t="s">
        <v>14</v>
      </c>
      <c r="C440" t="s">
        <v>12</v>
      </c>
      <c r="D440">
        <v>105</v>
      </c>
      <c r="E440">
        <v>3</v>
      </c>
      <c r="F440">
        <v>728</v>
      </c>
      <c r="G440">
        <v>24</v>
      </c>
      <c r="H440">
        <v>343</v>
      </c>
      <c r="I440">
        <v>52</v>
      </c>
      <c r="J440" t="str">
        <f>IF(Table2[[#This Row],[Age]]&lt;=24, "18 - 24", IF(Table2[[#This Row],[Age]]&lt;=34, "25 - 34", IF(Table2[[#This Row],[Age]]&lt;=44, "35 - 44", IF(Table2[[#This Row],[Age]]&lt;=54, "45 - 54", "55 - 59"))))</f>
        <v>45 - 54</v>
      </c>
      <c r="K440" t="str">
        <f>IF(Table2[[#This Row],[Age]]&lt;=24, "Young Adults", IF(Table2[[#This Row],[Age]]&lt;=34, "Early Career", IF(Table2[[#This Row],[Age]]&lt;=44, "Mid Career", IF(Table2[[#This Row],[Age]]&lt;=54, "Mature Adults", "Pre-retirment"))))</f>
        <v>Mature Adults</v>
      </c>
      <c r="L440" t="s">
        <v>15</v>
      </c>
      <c r="M440">
        <v>2</v>
      </c>
      <c r="N440" t="str">
        <f t="shared" si="6"/>
        <v>Light User</v>
      </c>
    </row>
    <row r="441" spans="1:14" x14ac:dyDescent="0.25">
      <c r="A441">
        <v>440</v>
      </c>
      <c r="B441" t="s">
        <v>11</v>
      </c>
      <c r="C441" t="s">
        <v>12</v>
      </c>
      <c r="D441">
        <v>123</v>
      </c>
      <c r="E441">
        <v>3.9</v>
      </c>
      <c r="F441">
        <v>915</v>
      </c>
      <c r="G441">
        <v>39</v>
      </c>
      <c r="H441">
        <v>468</v>
      </c>
      <c r="I441">
        <v>18</v>
      </c>
      <c r="J441" t="str">
        <f>IF(Table2[[#This Row],[Age]]&lt;=24, "18 - 24", IF(Table2[[#This Row],[Age]]&lt;=34, "25 - 34", IF(Table2[[#This Row],[Age]]&lt;=44, "35 - 44", IF(Table2[[#This Row],[Age]]&lt;=54, "45 - 54", "55 - 59"))))</f>
        <v>18 - 24</v>
      </c>
      <c r="K441" t="str">
        <f>IF(Table2[[#This Row],[Age]]&lt;=24, "Young Adults", IF(Table2[[#This Row],[Age]]&lt;=34, "Early Career", IF(Table2[[#This Row],[Age]]&lt;=44, "Mid Career", IF(Table2[[#This Row],[Age]]&lt;=54, "Mature Adults", "Pre-retirment"))))</f>
        <v>Young Adults</v>
      </c>
      <c r="L441" t="s">
        <v>13</v>
      </c>
      <c r="M441">
        <v>2</v>
      </c>
      <c r="N441" t="str">
        <f t="shared" si="6"/>
        <v>Light User</v>
      </c>
    </row>
    <row r="442" spans="1:14" x14ac:dyDescent="0.25">
      <c r="A442">
        <v>441</v>
      </c>
      <c r="B442" t="s">
        <v>11</v>
      </c>
      <c r="C442" t="s">
        <v>12</v>
      </c>
      <c r="D442">
        <v>260</v>
      </c>
      <c r="E442">
        <v>5.7</v>
      </c>
      <c r="F442">
        <v>1725</v>
      </c>
      <c r="G442">
        <v>56</v>
      </c>
      <c r="H442">
        <v>920</v>
      </c>
      <c r="I442">
        <v>36</v>
      </c>
      <c r="J442" t="str">
        <f>IF(Table2[[#This Row],[Age]]&lt;=24, "18 - 24", IF(Table2[[#This Row],[Age]]&lt;=34, "25 - 34", IF(Table2[[#This Row],[Age]]&lt;=44, "35 - 44", IF(Table2[[#This Row],[Age]]&lt;=54, "45 - 54", "55 - 59"))))</f>
        <v>35 - 44</v>
      </c>
      <c r="K442" t="str">
        <f>IF(Table2[[#This Row],[Age]]&lt;=24, "Young Adults", IF(Table2[[#This Row],[Age]]&lt;=34, "Early Career", IF(Table2[[#This Row],[Age]]&lt;=44, "Mid Career", IF(Table2[[#This Row],[Age]]&lt;=54, "Mature Adults", "Pre-retirment"))))</f>
        <v>Mid Career</v>
      </c>
      <c r="L442" t="s">
        <v>15</v>
      </c>
      <c r="M442">
        <v>3</v>
      </c>
      <c r="N442" t="str">
        <f t="shared" si="6"/>
        <v>Moderate User</v>
      </c>
    </row>
    <row r="443" spans="1:14" x14ac:dyDescent="0.25">
      <c r="A443">
        <v>442</v>
      </c>
      <c r="B443" t="s">
        <v>19</v>
      </c>
      <c r="C443" t="s">
        <v>12</v>
      </c>
      <c r="D443">
        <v>223</v>
      </c>
      <c r="E443">
        <v>5.7</v>
      </c>
      <c r="F443">
        <v>1295</v>
      </c>
      <c r="G443">
        <v>44</v>
      </c>
      <c r="H443">
        <v>751</v>
      </c>
      <c r="I443">
        <v>39</v>
      </c>
      <c r="J443" t="str">
        <f>IF(Table2[[#This Row],[Age]]&lt;=24, "18 - 24", IF(Table2[[#This Row],[Age]]&lt;=34, "25 - 34", IF(Table2[[#This Row],[Age]]&lt;=44, "35 - 44", IF(Table2[[#This Row],[Age]]&lt;=54, "45 - 54", "55 - 59"))))</f>
        <v>35 - 44</v>
      </c>
      <c r="K443" t="str">
        <f>IF(Table2[[#This Row],[Age]]&lt;=24, "Young Adults", IF(Table2[[#This Row],[Age]]&lt;=34, "Early Career", IF(Table2[[#This Row],[Age]]&lt;=44, "Mid Career", IF(Table2[[#This Row],[Age]]&lt;=54, "Mature Adults", "Pre-retirment"))))</f>
        <v>Mid Career</v>
      </c>
      <c r="L443" t="s">
        <v>13</v>
      </c>
      <c r="M443">
        <v>3</v>
      </c>
      <c r="N443" t="str">
        <f t="shared" si="6"/>
        <v>Moderate User</v>
      </c>
    </row>
    <row r="444" spans="1:14" x14ac:dyDescent="0.25">
      <c r="A444">
        <v>443</v>
      </c>
      <c r="B444" t="s">
        <v>11</v>
      </c>
      <c r="C444" t="s">
        <v>12</v>
      </c>
      <c r="D444">
        <v>66</v>
      </c>
      <c r="E444">
        <v>1.1000000000000001</v>
      </c>
      <c r="F444">
        <v>505</v>
      </c>
      <c r="G444">
        <v>17</v>
      </c>
      <c r="H444">
        <v>218</v>
      </c>
      <c r="I444">
        <v>33</v>
      </c>
      <c r="J444" t="str">
        <f>IF(Table2[[#This Row],[Age]]&lt;=24, "18 - 24", IF(Table2[[#This Row],[Age]]&lt;=34, "25 - 34", IF(Table2[[#This Row],[Age]]&lt;=44, "35 - 44", IF(Table2[[#This Row],[Age]]&lt;=54, "45 - 54", "55 - 59"))))</f>
        <v>25 - 34</v>
      </c>
      <c r="K444" t="str">
        <f>IF(Table2[[#This Row],[Age]]&lt;=24, "Young Adults", IF(Table2[[#This Row],[Age]]&lt;=34, "Early Career", IF(Table2[[#This Row],[Age]]&lt;=44, "Mid Career", IF(Table2[[#This Row],[Age]]&lt;=54, "Mature Adults", "Pre-retirment"))))</f>
        <v>Early Career</v>
      </c>
      <c r="L444" t="s">
        <v>13</v>
      </c>
      <c r="M444">
        <v>1</v>
      </c>
      <c r="N444" t="str">
        <f t="shared" si="6"/>
        <v>Light User</v>
      </c>
    </row>
    <row r="445" spans="1:14" x14ac:dyDescent="0.25">
      <c r="A445">
        <v>444</v>
      </c>
      <c r="B445" t="s">
        <v>17</v>
      </c>
      <c r="C445" t="s">
        <v>18</v>
      </c>
      <c r="D445">
        <v>231</v>
      </c>
      <c r="E445">
        <v>4</v>
      </c>
      <c r="F445">
        <v>1664</v>
      </c>
      <c r="G445">
        <v>48</v>
      </c>
      <c r="H445">
        <v>724</v>
      </c>
      <c r="I445">
        <v>29</v>
      </c>
      <c r="J445" t="str">
        <f>IF(Table2[[#This Row],[Age]]&lt;=24, "18 - 24", IF(Table2[[#This Row],[Age]]&lt;=34, "25 - 34", IF(Table2[[#This Row],[Age]]&lt;=44, "35 - 44", IF(Table2[[#This Row],[Age]]&lt;=54, "45 - 54", "55 - 59"))))</f>
        <v>25 - 34</v>
      </c>
      <c r="K445" t="str">
        <f>IF(Table2[[#This Row],[Age]]&lt;=24, "Young Adults", IF(Table2[[#This Row],[Age]]&lt;=34, "Early Career", IF(Table2[[#This Row],[Age]]&lt;=44, "Mid Career", IF(Table2[[#This Row],[Age]]&lt;=54, "Mature Adults", "Pre-retirment"))))</f>
        <v>Early Career</v>
      </c>
      <c r="L445" t="s">
        <v>15</v>
      </c>
      <c r="M445">
        <v>3</v>
      </c>
      <c r="N445" t="str">
        <f t="shared" si="6"/>
        <v>Moderate User</v>
      </c>
    </row>
    <row r="446" spans="1:14" x14ac:dyDescent="0.25">
      <c r="A446">
        <v>445</v>
      </c>
      <c r="B446" t="s">
        <v>17</v>
      </c>
      <c r="C446" t="s">
        <v>18</v>
      </c>
      <c r="D446">
        <v>555</v>
      </c>
      <c r="E446">
        <v>8.8000000000000007</v>
      </c>
      <c r="F446">
        <v>2540</v>
      </c>
      <c r="G446">
        <v>97</v>
      </c>
      <c r="H446">
        <v>2402</v>
      </c>
      <c r="I446">
        <v>22</v>
      </c>
      <c r="J446" t="str">
        <f>IF(Table2[[#This Row],[Age]]&lt;=24, "18 - 24", IF(Table2[[#This Row],[Age]]&lt;=34, "25 - 34", IF(Table2[[#This Row],[Age]]&lt;=44, "35 - 44", IF(Table2[[#This Row],[Age]]&lt;=54, "45 - 54", "55 - 59"))))</f>
        <v>18 - 24</v>
      </c>
      <c r="K446" t="str">
        <f>IF(Table2[[#This Row],[Age]]&lt;=24, "Young Adults", IF(Table2[[#This Row],[Age]]&lt;=34, "Early Career", IF(Table2[[#This Row],[Age]]&lt;=44, "Mid Career", IF(Table2[[#This Row],[Age]]&lt;=54, "Mature Adults", "Pre-retirment"))))</f>
        <v>Young Adults</v>
      </c>
      <c r="L446" t="s">
        <v>13</v>
      </c>
      <c r="M446">
        <v>5</v>
      </c>
      <c r="N446" t="str">
        <f t="shared" si="6"/>
        <v>Heavy User</v>
      </c>
    </row>
    <row r="447" spans="1:14" x14ac:dyDescent="0.25">
      <c r="A447">
        <v>446</v>
      </c>
      <c r="B447" t="s">
        <v>19</v>
      </c>
      <c r="C447" t="s">
        <v>12</v>
      </c>
      <c r="D447">
        <v>378</v>
      </c>
      <c r="E447">
        <v>7.2</v>
      </c>
      <c r="F447">
        <v>1859</v>
      </c>
      <c r="G447">
        <v>61</v>
      </c>
      <c r="H447">
        <v>1318</v>
      </c>
      <c r="I447">
        <v>58</v>
      </c>
      <c r="J447" t="str">
        <f>IF(Table2[[#This Row],[Age]]&lt;=24, "18 - 24", IF(Table2[[#This Row],[Age]]&lt;=34, "25 - 34", IF(Table2[[#This Row],[Age]]&lt;=44, "35 - 44", IF(Table2[[#This Row],[Age]]&lt;=54, "45 - 54", "55 - 59"))))</f>
        <v>55 - 59</v>
      </c>
      <c r="K447" t="str">
        <f>IF(Table2[[#This Row],[Age]]&lt;=24, "Young Adults", IF(Table2[[#This Row],[Age]]&lt;=34, "Early Career", IF(Table2[[#This Row],[Age]]&lt;=44, "Mid Career", IF(Table2[[#This Row],[Age]]&lt;=54, "Mature Adults", "Pre-retirment"))))</f>
        <v>Pre-retirment</v>
      </c>
      <c r="L447" t="s">
        <v>13</v>
      </c>
      <c r="M447">
        <v>4</v>
      </c>
      <c r="N447" t="str">
        <f t="shared" si="6"/>
        <v>Heavy User</v>
      </c>
    </row>
    <row r="448" spans="1:14" x14ac:dyDescent="0.25">
      <c r="A448">
        <v>447</v>
      </c>
      <c r="B448" t="s">
        <v>14</v>
      </c>
      <c r="C448" t="s">
        <v>12</v>
      </c>
      <c r="D448">
        <v>546</v>
      </c>
      <c r="E448">
        <v>8.8000000000000007</v>
      </c>
      <c r="F448">
        <v>2852</v>
      </c>
      <c r="G448">
        <v>81</v>
      </c>
      <c r="H448">
        <v>1641</v>
      </c>
      <c r="I448">
        <v>24</v>
      </c>
      <c r="J448" t="str">
        <f>IF(Table2[[#This Row],[Age]]&lt;=24, "18 - 24", IF(Table2[[#This Row],[Age]]&lt;=34, "25 - 34", IF(Table2[[#This Row],[Age]]&lt;=44, "35 - 44", IF(Table2[[#This Row],[Age]]&lt;=54, "45 - 54", "55 - 59"))))</f>
        <v>18 - 24</v>
      </c>
      <c r="K448" t="str">
        <f>IF(Table2[[#This Row],[Age]]&lt;=24, "Young Adults", IF(Table2[[#This Row],[Age]]&lt;=34, "Early Career", IF(Table2[[#This Row],[Age]]&lt;=44, "Mid Career", IF(Table2[[#This Row],[Age]]&lt;=54, "Mature Adults", "Pre-retirment"))))</f>
        <v>Young Adults</v>
      </c>
      <c r="L448" t="s">
        <v>13</v>
      </c>
      <c r="M448">
        <v>5</v>
      </c>
      <c r="N448" t="str">
        <f t="shared" si="6"/>
        <v>Heavy User</v>
      </c>
    </row>
    <row r="449" spans="1:14" x14ac:dyDescent="0.25">
      <c r="A449">
        <v>448</v>
      </c>
      <c r="B449" t="s">
        <v>19</v>
      </c>
      <c r="C449" t="s">
        <v>12</v>
      </c>
      <c r="D449">
        <v>234</v>
      </c>
      <c r="E449">
        <v>5.2</v>
      </c>
      <c r="F449">
        <v>1604</v>
      </c>
      <c r="G449">
        <v>58</v>
      </c>
      <c r="H449">
        <v>919</v>
      </c>
      <c r="I449">
        <v>58</v>
      </c>
      <c r="J449" t="str">
        <f>IF(Table2[[#This Row],[Age]]&lt;=24, "18 - 24", IF(Table2[[#This Row],[Age]]&lt;=34, "25 - 34", IF(Table2[[#This Row],[Age]]&lt;=44, "35 - 44", IF(Table2[[#This Row],[Age]]&lt;=54, "45 - 54", "55 - 59"))))</f>
        <v>55 - 59</v>
      </c>
      <c r="K449" t="str">
        <f>IF(Table2[[#This Row],[Age]]&lt;=24, "Young Adults", IF(Table2[[#This Row],[Age]]&lt;=34, "Early Career", IF(Table2[[#This Row],[Age]]&lt;=44, "Mid Career", IF(Table2[[#This Row],[Age]]&lt;=54, "Mature Adults", "Pre-retirment"))))</f>
        <v>Pre-retirment</v>
      </c>
      <c r="L449" t="s">
        <v>13</v>
      </c>
      <c r="M449">
        <v>3</v>
      </c>
      <c r="N449" t="str">
        <f t="shared" si="6"/>
        <v>Moderate User</v>
      </c>
    </row>
    <row r="450" spans="1:14" x14ac:dyDescent="0.25">
      <c r="A450">
        <v>449</v>
      </c>
      <c r="B450" t="s">
        <v>19</v>
      </c>
      <c r="C450" t="s">
        <v>12</v>
      </c>
      <c r="D450">
        <v>152</v>
      </c>
      <c r="E450">
        <v>3</v>
      </c>
      <c r="F450">
        <v>617</v>
      </c>
      <c r="G450">
        <v>22</v>
      </c>
      <c r="H450">
        <v>306</v>
      </c>
      <c r="I450">
        <v>22</v>
      </c>
      <c r="J450" t="str">
        <f>IF(Table2[[#This Row],[Age]]&lt;=24, "18 - 24", IF(Table2[[#This Row],[Age]]&lt;=34, "25 - 34", IF(Table2[[#This Row],[Age]]&lt;=44, "35 - 44", IF(Table2[[#This Row],[Age]]&lt;=54, "45 - 54", "55 - 59"))))</f>
        <v>18 - 24</v>
      </c>
      <c r="K450" t="str">
        <f>IF(Table2[[#This Row],[Age]]&lt;=24, "Young Adults", IF(Table2[[#This Row],[Age]]&lt;=34, "Early Career", IF(Table2[[#This Row],[Age]]&lt;=44, "Mid Career", IF(Table2[[#This Row],[Age]]&lt;=54, "Mature Adults", "Pre-retirment"))))</f>
        <v>Young Adults</v>
      </c>
      <c r="L450" t="s">
        <v>15</v>
      </c>
      <c r="M450">
        <v>2</v>
      </c>
      <c r="N450" t="str">
        <f t="shared" si="6"/>
        <v>Light User</v>
      </c>
    </row>
    <row r="451" spans="1:14" x14ac:dyDescent="0.25">
      <c r="A451">
        <v>450</v>
      </c>
      <c r="B451" t="s">
        <v>11</v>
      </c>
      <c r="C451" t="s">
        <v>12</v>
      </c>
      <c r="D451">
        <v>34</v>
      </c>
      <c r="E451">
        <v>1.2</v>
      </c>
      <c r="F451">
        <v>518</v>
      </c>
      <c r="G451">
        <v>10</v>
      </c>
      <c r="H451">
        <v>170</v>
      </c>
      <c r="I451">
        <v>20</v>
      </c>
      <c r="J451" t="str">
        <f>IF(Table2[[#This Row],[Age]]&lt;=24, "18 - 24", IF(Table2[[#This Row],[Age]]&lt;=34, "25 - 34", IF(Table2[[#This Row],[Age]]&lt;=44, "35 - 44", IF(Table2[[#This Row],[Age]]&lt;=54, "45 - 54", "55 - 59"))))</f>
        <v>18 - 24</v>
      </c>
      <c r="K451" t="str">
        <f>IF(Table2[[#This Row],[Age]]&lt;=24, "Young Adults", IF(Table2[[#This Row],[Age]]&lt;=34, "Early Career", IF(Table2[[#This Row],[Age]]&lt;=44, "Mid Career", IF(Table2[[#This Row],[Age]]&lt;=54, "Mature Adults", "Pre-retirment"))))</f>
        <v>Young Adults</v>
      </c>
      <c r="L451" t="s">
        <v>15</v>
      </c>
      <c r="M451">
        <v>1</v>
      </c>
      <c r="N451" t="str">
        <f t="shared" ref="N451:N514" si="7">IF(M451&lt;=2, "Light User", IF(M451=3, "Moderate User", "Heavy User"))</f>
        <v>Light User</v>
      </c>
    </row>
    <row r="452" spans="1:14" x14ac:dyDescent="0.25">
      <c r="A452">
        <v>451</v>
      </c>
      <c r="B452" t="s">
        <v>19</v>
      </c>
      <c r="C452" t="s">
        <v>12</v>
      </c>
      <c r="D452">
        <v>179</v>
      </c>
      <c r="E452">
        <v>3.5</v>
      </c>
      <c r="F452">
        <v>1114</v>
      </c>
      <c r="G452">
        <v>30</v>
      </c>
      <c r="H452">
        <v>466</v>
      </c>
      <c r="I452">
        <v>56</v>
      </c>
      <c r="J452" t="str">
        <f>IF(Table2[[#This Row],[Age]]&lt;=24, "18 - 24", IF(Table2[[#This Row],[Age]]&lt;=34, "25 - 34", IF(Table2[[#This Row],[Age]]&lt;=44, "35 - 44", IF(Table2[[#This Row],[Age]]&lt;=54, "45 - 54", "55 - 59"))))</f>
        <v>55 - 59</v>
      </c>
      <c r="K452" t="str">
        <f>IF(Table2[[#This Row],[Age]]&lt;=24, "Young Adults", IF(Table2[[#This Row],[Age]]&lt;=34, "Early Career", IF(Table2[[#This Row],[Age]]&lt;=44, "Mid Career", IF(Table2[[#This Row],[Age]]&lt;=54, "Mature Adults", "Pre-retirment"))))</f>
        <v>Pre-retirment</v>
      </c>
      <c r="L452" t="s">
        <v>13</v>
      </c>
      <c r="M452">
        <v>2</v>
      </c>
      <c r="N452" t="str">
        <f t="shared" si="7"/>
        <v>Light User</v>
      </c>
    </row>
    <row r="453" spans="1:14" x14ac:dyDescent="0.25">
      <c r="A453">
        <v>452</v>
      </c>
      <c r="B453" t="s">
        <v>14</v>
      </c>
      <c r="C453" t="s">
        <v>12</v>
      </c>
      <c r="D453">
        <v>591</v>
      </c>
      <c r="E453">
        <v>11.8</v>
      </c>
      <c r="F453">
        <v>2953</v>
      </c>
      <c r="G453">
        <v>92</v>
      </c>
      <c r="H453">
        <v>1903</v>
      </c>
      <c r="I453">
        <v>52</v>
      </c>
      <c r="J453" t="str">
        <f>IF(Table2[[#This Row],[Age]]&lt;=24, "18 - 24", IF(Table2[[#This Row],[Age]]&lt;=34, "25 - 34", IF(Table2[[#This Row],[Age]]&lt;=44, "35 - 44", IF(Table2[[#This Row],[Age]]&lt;=54, "45 - 54", "55 - 59"))))</f>
        <v>45 - 54</v>
      </c>
      <c r="K453" t="str">
        <f>IF(Table2[[#This Row],[Age]]&lt;=24, "Young Adults", IF(Table2[[#This Row],[Age]]&lt;=34, "Early Career", IF(Table2[[#This Row],[Age]]&lt;=44, "Mid Career", IF(Table2[[#This Row],[Age]]&lt;=54, "Mature Adults", "Pre-retirment"))))</f>
        <v>Mature Adults</v>
      </c>
      <c r="L453" t="s">
        <v>13</v>
      </c>
      <c r="M453">
        <v>5</v>
      </c>
      <c r="N453" t="str">
        <f t="shared" si="7"/>
        <v>Heavy User</v>
      </c>
    </row>
    <row r="454" spans="1:14" x14ac:dyDescent="0.25">
      <c r="A454">
        <v>453</v>
      </c>
      <c r="B454" t="s">
        <v>19</v>
      </c>
      <c r="C454" t="s">
        <v>12</v>
      </c>
      <c r="D454">
        <v>120</v>
      </c>
      <c r="E454">
        <v>3.3</v>
      </c>
      <c r="F454">
        <v>734</v>
      </c>
      <c r="G454">
        <v>35</v>
      </c>
      <c r="H454">
        <v>583</v>
      </c>
      <c r="I454">
        <v>26</v>
      </c>
      <c r="J454" t="str">
        <f>IF(Table2[[#This Row],[Age]]&lt;=24, "18 - 24", IF(Table2[[#This Row],[Age]]&lt;=34, "25 - 34", IF(Table2[[#This Row],[Age]]&lt;=44, "35 - 44", IF(Table2[[#This Row],[Age]]&lt;=54, "45 - 54", "55 - 59"))))</f>
        <v>25 - 34</v>
      </c>
      <c r="K454" t="str">
        <f>IF(Table2[[#This Row],[Age]]&lt;=24, "Young Adults", IF(Table2[[#This Row],[Age]]&lt;=34, "Early Career", IF(Table2[[#This Row],[Age]]&lt;=44, "Mid Career", IF(Table2[[#This Row],[Age]]&lt;=54, "Mature Adults", "Pre-retirment"))))</f>
        <v>Early Career</v>
      </c>
      <c r="L454" t="s">
        <v>13</v>
      </c>
      <c r="M454">
        <v>2</v>
      </c>
      <c r="N454" t="str">
        <f t="shared" si="7"/>
        <v>Light User</v>
      </c>
    </row>
    <row r="455" spans="1:14" x14ac:dyDescent="0.25">
      <c r="A455">
        <v>454</v>
      </c>
      <c r="B455" t="s">
        <v>11</v>
      </c>
      <c r="C455" t="s">
        <v>12</v>
      </c>
      <c r="D455">
        <v>88</v>
      </c>
      <c r="E455">
        <v>1.3</v>
      </c>
      <c r="F455">
        <v>557</v>
      </c>
      <c r="G455">
        <v>13</v>
      </c>
      <c r="H455">
        <v>164</v>
      </c>
      <c r="I455">
        <v>43</v>
      </c>
      <c r="J455" t="str">
        <f>IF(Table2[[#This Row],[Age]]&lt;=24, "18 - 24", IF(Table2[[#This Row],[Age]]&lt;=34, "25 - 34", IF(Table2[[#This Row],[Age]]&lt;=44, "35 - 44", IF(Table2[[#This Row],[Age]]&lt;=54, "45 - 54", "55 - 59"))))</f>
        <v>35 - 44</v>
      </c>
      <c r="K455" t="str">
        <f>IF(Table2[[#This Row],[Age]]&lt;=24, "Young Adults", IF(Table2[[#This Row],[Age]]&lt;=34, "Early Career", IF(Table2[[#This Row],[Age]]&lt;=44, "Mid Career", IF(Table2[[#This Row],[Age]]&lt;=54, "Mature Adults", "Pre-retirment"))))</f>
        <v>Mid Career</v>
      </c>
      <c r="L455" t="s">
        <v>13</v>
      </c>
      <c r="M455">
        <v>1</v>
      </c>
      <c r="N455" t="str">
        <f t="shared" si="7"/>
        <v>Light User</v>
      </c>
    </row>
    <row r="456" spans="1:14" x14ac:dyDescent="0.25">
      <c r="A456">
        <v>455</v>
      </c>
      <c r="B456" t="s">
        <v>17</v>
      </c>
      <c r="C456" t="s">
        <v>18</v>
      </c>
      <c r="D456">
        <v>143</v>
      </c>
      <c r="E456">
        <v>3.9</v>
      </c>
      <c r="F456">
        <v>1160</v>
      </c>
      <c r="G456">
        <v>24</v>
      </c>
      <c r="H456">
        <v>398</v>
      </c>
      <c r="I456">
        <v>45</v>
      </c>
      <c r="J456" t="str">
        <f>IF(Table2[[#This Row],[Age]]&lt;=24, "18 - 24", IF(Table2[[#This Row],[Age]]&lt;=34, "25 - 34", IF(Table2[[#This Row],[Age]]&lt;=44, "35 - 44", IF(Table2[[#This Row],[Age]]&lt;=54, "45 - 54", "55 - 59"))))</f>
        <v>45 - 54</v>
      </c>
      <c r="K456" t="str">
        <f>IF(Table2[[#This Row],[Age]]&lt;=24, "Young Adults", IF(Table2[[#This Row],[Age]]&lt;=34, "Early Career", IF(Table2[[#This Row],[Age]]&lt;=44, "Mid Career", IF(Table2[[#This Row],[Age]]&lt;=54, "Mature Adults", "Pre-retirment"))))</f>
        <v>Mature Adults</v>
      </c>
      <c r="L456" t="s">
        <v>13</v>
      </c>
      <c r="M456">
        <v>2</v>
      </c>
      <c r="N456" t="str">
        <f t="shared" si="7"/>
        <v>Light User</v>
      </c>
    </row>
    <row r="457" spans="1:14" x14ac:dyDescent="0.25">
      <c r="A457">
        <v>456</v>
      </c>
      <c r="B457" t="s">
        <v>17</v>
      </c>
      <c r="C457" t="s">
        <v>18</v>
      </c>
      <c r="D457">
        <v>74</v>
      </c>
      <c r="E457">
        <v>1.6</v>
      </c>
      <c r="F457">
        <v>436</v>
      </c>
      <c r="G457">
        <v>13</v>
      </c>
      <c r="H457">
        <v>182</v>
      </c>
      <c r="I457">
        <v>27</v>
      </c>
      <c r="J457" t="str">
        <f>IF(Table2[[#This Row],[Age]]&lt;=24, "18 - 24", IF(Table2[[#This Row],[Age]]&lt;=34, "25 - 34", IF(Table2[[#This Row],[Age]]&lt;=44, "35 - 44", IF(Table2[[#This Row],[Age]]&lt;=54, "45 - 54", "55 - 59"))))</f>
        <v>25 - 34</v>
      </c>
      <c r="K457" t="str">
        <f>IF(Table2[[#This Row],[Age]]&lt;=24, "Young Adults", IF(Table2[[#This Row],[Age]]&lt;=34, "Early Career", IF(Table2[[#This Row],[Age]]&lt;=44, "Mid Career", IF(Table2[[#This Row],[Age]]&lt;=54, "Mature Adults", "Pre-retirment"))))</f>
        <v>Early Career</v>
      </c>
      <c r="L457" t="s">
        <v>15</v>
      </c>
      <c r="M457">
        <v>1</v>
      </c>
      <c r="N457" t="str">
        <f t="shared" si="7"/>
        <v>Light User</v>
      </c>
    </row>
    <row r="458" spans="1:14" x14ac:dyDescent="0.25">
      <c r="A458">
        <v>457</v>
      </c>
      <c r="B458" t="s">
        <v>17</v>
      </c>
      <c r="C458" t="s">
        <v>18</v>
      </c>
      <c r="D458">
        <v>74</v>
      </c>
      <c r="E458">
        <v>1.6</v>
      </c>
      <c r="F458">
        <v>587</v>
      </c>
      <c r="G458">
        <v>15</v>
      </c>
      <c r="H458">
        <v>275</v>
      </c>
      <c r="I458">
        <v>27</v>
      </c>
      <c r="J458" t="str">
        <f>IF(Table2[[#This Row],[Age]]&lt;=24, "18 - 24", IF(Table2[[#This Row],[Age]]&lt;=34, "25 - 34", IF(Table2[[#This Row],[Age]]&lt;=44, "35 - 44", IF(Table2[[#This Row],[Age]]&lt;=54, "45 - 54", "55 - 59"))))</f>
        <v>25 - 34</v>
      </c>
      <c r="K458" t="str">
        <f>IF(Table2[[#This Row],[Age]]&lt;=24, "Young Adults", IF(Table2[[#This Row],[Age]]&lt;=34, "Early Career", IF(Table2[[#This Row],[Age]]&lt;=44, "Mid Career", IF(Table2[[#This Row],[Age]]&lt;=54, "Mature Adults", "Pre-retirment"))))</f>
        <v>Early Career</v>
      </c>
      <c r="L458" t="s">
        <v>15</v>
      </c>
      <c r="M458">
        <v>1</v>
      </c>
      <c r="N458" t="str">
        <f t="shared" si="7"/>
        <v>Light User</v>
      </c>
    </row>
    <row r="459" spans="1:14" x14ac:dyDescent="0.25">
      <c r="A459">
        <v>458</v>
      </c>
      <c r="B459" t="s">
        <v>14</v>
      </c>
      <c r="C459" t="s">
        <v>12</v>
      </c>
      <c r="D459">
        <v>234</v>
      </c>
      <c r="E459">
        <v>4.7</v>
      </c>
      <c r="F459">
        <v>1707</v>
      </c>
      <c r="G459">
        <v>55</v>
      </c>
      <c r="H459">
        <v>871</v>
      </c>
      <c r="I459">
        <v>46</v>
      </c>
      <c r="J459" t="str">
        <f>IF(Table2[[#This Row],[Age]]&lt;=24, "18 - 24", IF(Table2[[#This Row],[Age]]&lt;=34, "25 - 34", IF(Table2[[#This Row],[Age]]&lt;=44, "35 - 44", IF(Table2[[#This Row],[Age]]&lt;=54, "45 - 54", "55 - 59"))))</f>
        <v>45 - 54</v>
      </c>
      <c r="K459" t="str">
        <f>IF(Table2[[#This Row],[Age]]&lt;=24, "Young Adults", IF(Table2[[#This Row],[Age]]&lt;=34, "Early Career", IF(Table2[[#This Row],[Age]]&lt;=44, "Mid Career", IF(Table2[[#This Row],[Age]]&lt;=54, "Mature Adults", "Pre-retirment"))))</f>
        <v>Mature Adults</v>
      </c>
      <c r="L459" t="s">
        <v>13</v>
      </c>
      <c r="M459">
        <v>3</v>
      </c>
      <c r="N459" t="str">
        <f t="shared" si="7"/>
        <v>Moderate User</v>
      </c>
    </row>
    <row r="460" spans="1:14" x14ac:dyDescent="0.25">
      <c r="A460">
        <v>459</v>
      </c>
      <c r="B460" t="s">
        <v>17</v>
      </c>
      <c r="C460" t="s">
        <v>18</v>
      </c>
      <c r="D460">
        <v>56</v>
      </c>
      <c r="E460">
        <v>1</v>
      </c>
      <c r="F460">
        <v>547</v>
      </c>
      <c r="G460">
        <v>10</v>
      </c>
      <c r="H460">
        <v>142</v>
      </c>
      <c r="I460">
        <v>58</v>
      </c>
      <c r="J460" t="str">
        <f>IF(Table2[[#This Row],[Age]]&lt;=24, "18 - 24", IF(Table2[[#This Row],[Age]]&lt;=34, "25 - 34", IF(Table2[[#This Row],[Age]]&lt;=44, "35 - 44", IF(Table2[[#This Row],[Age]]&lt;=54, "45 - 54", "55 - 59"))))</f>
        <v>55 - 59</v>
      </c>
      <c r="K460" t="str">
        <f>IF(Table2[[#This Row],[Age]]&lt;=24, "Young Adults", IF(Table2[[#This Row],[Age]]&lt;=34, "Early Career", IF(Table2[[#This Row],[Age]]&lt;=44, "Mid Career", IF(Table2[[#This Row],[Age]]&lt;=54, "Mature Adults", "Pre-retirment"))))</f>
        <v>Pre-retirment</v>
      </c>
      <c r="L460" t="s">
        <v>15</v>
      </c>
      <c r="M460">
        <v>1</v>
      </c>
      <c r="N460" t="str">
        <f t="shared" si="7"/>
        <v>Light User</v>
      </c>
    </row>
    <row r="461" spans="1:14" x14ac:dyDescent="0.25">
      <c r="A461">
        <v>460</v>
      </c>
      <c r="B461" t="s">
        <v>14</v>
      </c>
      <c r="C461" t="s">
        <v>12</v>
      </c>
      <c r="D461">
        <v>174</v>
      </c>
      <c r="E461">
        <v>2.4</v>
      </c>
      <c r="F461">
        <v>639</v>
      </c>
      <c r="G461">
        <v>37</v>
      </c>
      <c r="H461">
        <v>545</v>
      </c>
      <c r="I461">
        <v>50</v>
      </c>
      <c r="J461" t="str">
        <f>IF(Table2[[#This Row],[Age]]&lt;=24, "18 - 24", IF(Table2[[#This Row],[Age]]&lt;=34, "25 - 34", IF(Table2[[#This Row],[Age]]&lt;=44, "35 - 44", IF(Table2[[#This Row],[Age]]&lt;=54, "45 - 54", "55 - 59"))))</f>
        <v>45 - 54</v>
      </c>
      <c r="K461" t="str">
        <f>IF(Table2[[#This Row],[Age]]&lt;=24, "Young Adults", IF(Table2[[#This Row],[Age]]&lt;=34, "Early Career", IF(Table2[[#This Row],[Age]]&lt;=44, "Mid Career", IF(Table2[[#This Row],[Age]]&lt;=54, "Mature Adults", "Pre-retirment"))))</f>
        <v>Mature Adults</v>
      </c>
      <c r="L461" t="s">
        <v>13</v>
      </c>
      <c r="M461">
        <v>2</v>
      </c>
      <c r="N461" t="str">
        <f t="shared" si="7"/>
        <v>Light User</v>
      </c>
    </row>
    <row r="462" spans="1:14" x14ac:dyDescent="0.25">
      <c r="A462">
        <v>461</v>
      </c>
      <c r="B462" t="s">
        <v>19</v>
      </c>
      <c r="C462" t="s">
        <v>12</v>
      </c>
      <c r="D462">
        <v>523</v>
      </c>
      <c r="E462">
        <v>9</v>
      </c>
      <c r="F462">
        <v>2696</v>
      </c>
      <c r="G462">
        <v>91</v>
      </c>
      <c r="H462">
        <v>1561</v>
      </c>
      <c r="I462">
        <v>20</v>
      </c>
      <c r="J462" t="str">
        <f>IF(Table2[[#This Row],[Age]]&lt;=24, "18 - 24", IF(Table2[[#This Row],[Age]]&lt;=34, "25 - 34", IF(Table2[[#This Row],[Age]]&lt;=44, "35 - 44", IF(Table2[[#This Row],[Age]]&lt;=54, "45 - 54", "55 - 59"))))</f>
        <v>18 - 24</v>
      </c>
      <c r="K462" t="str">
        <f>IF(Table2[[#This Row],[Age]]&lt;=24, "Young Adults", IF(Table2[[#This Row],[Age]]&lt;=34, "Early Career", IF(Table2[[#This Row],[Age]]&lt;=44, "Mid Career", IF(Table2[[#This Row],[Age]]&lt;=54, "Mature Adults", "Pre-retirment"))))</f>
        <v>Young Adults</v>
      </c>
      <c r="L462" t="s">
        <v>15</v>
      </c>
      <c r="M462">
        <v>5</v>
      </c>
      <c r="N462" t="str">
        <f t="shared" si="7"/>
        <v>Heavy User</v>
      </c>
    </row>
    <row r="463" spans="1:14" x14ac:dyDescent="0.25">
      <c r="A463">
        <v>462</v>
      </c>
      <c r="B463" t="s">
        <v>19</v>
      </c>
      <c r="C463" t="s">
        <v>12</v>
      </c>
      <c r="D463">
        <v>123</v>
      </c>
      <c r="E463">
        <v>3.3</v>
      </c>
      <c r="F463">
        <v>938</v>
      </c>
      <c r="G463">
        <v>36</v>
      </c>
      <c r="H463">
        <v>438</v>
      </c>
      <c r="I463">
        <v>55</v>
      </c>
      <c r="J463" t="str">
        <f>IF(Table2[[#This Row],[Age]]&lt;=24, "18 - 24", IF(Table2[[#This Row],[Age]]&lt;=34, "25 - 34", IF(Table2[[#This Row],[Age]]&lt;=44, "35 - 44", IF(Table2[[#This Row],[Age]]&lt;=54, "45 - 54", "55 - 59"))))</f>
        <v>55 - 59</v>
      </c>
      <c r="K463" t="str">
        <f>IF(Table2[[#This Row],[Age]]&lt;=24, "Young Adults", IF(Table2[[#This Row],[Age]]&lt;=34, "Early Career", IF(Table2[[#This Row],[Age]]&lt;=44, "Mid Career", IF(Table2[[#This Row],[Age]]&lt;=54, "Mature Adults", "Pre-retirment"))))</f>
        <v>Pre-retirment</v>
      </c>
      <c r="L463" t="s">
        <v>13</v>
      </c>
      <c r="M463">
        <v>2</v>
      </c>
      <c r="N463" t="str">
        <f t="shared" si="7"/>
        <v>Light User</v>
      </c>
    </row>
    <row r="464" spans="1:14" x14ac:dyDescent="0.25">
      <c r="A464">
        <v>463</v>
      </c>
      <c r="B464" t="s">
        <v>19</v>
      </c>
      <c r="C464" t="s">
        <v>12</v>
      </c>
      <c r="D464">
        <v>216</v>
      </c>
      <c r="E464">
        <v>5.9</v>
      </c>
      <c r="F464">
        <v>1789</v>
      </c>
      <c r="G464">
        <v>54</v>
      </c>
      <c r="H464">
        <v>987</v>
      </c>
      <c r="I464">
        <v>55</v>
      </c>
      <c r="J464" t="str">
        <f>IF(Table2[[#This Row],[Age]]&lt;=24, "18 - 24", IF(Table2[[#This Row],[Age]]&lt;=34, "25 - 34", IF(Table2[[#This Row],[Age]]&lt;=44, "35 - 44", IF(Table2[[#This Row],[Age]]&lt;=54, "45 - 54", "55 - 59"))))</f>
        <v>55 - 59</v>
      </c>
      <c r="K464" t="str">
        <f>IF(Table2[[#This Row],[Age]]&lt;=24, "Young Adults", IF(Table2[[#This Row],[Age]]&lt;=34, "Early Career", IF(Table2[[#This Row],[Age]]&lt;=44, "Mid Career", IF(Table2[[#This Row],[Age]]&lt;=54, "Mature Adults", "Pre-retirment"))))</f>
        <v>Pre-retirment</v>
      </c>
      <c r="L464" t="s">
        <v>13</v>
      </c>
      <c r="M464">
        <v>3</v>
      </c>
      <c r="N464" t="str">
        <f t="shared" si="7"/>
        <v>Moderate User</v>
      </c>
    </row>
    <row r="465" spans="1:14" x14ac:dyDescent="0.25">
      <c r="A465">
        <v>464</v>
      </c>
      <c r="B465" t="s">
        <v>17</v>
      </c>
      <c r="C465" t="s">
        <v>18</v>
      </c>
      <c r="D465">
        <v>290</v>
      </c>
      <c r="E465">
        <v>4.5999999999999996</v>
      </c>
      <c r="F465">
        <v>1694</v>
      </c>
      <c r="G465">
        <v>50</v>
      </c>
      <c r="H465">
        <v>809</v>
      </c>
      <c r="I465">
        <v>23</v>
      </c>
      <c r="J465" t="str">
        <f>IF(Table2[[#This Row],[Age]]&lt;=24, "18 - 24", IF(Table2[[#This Row],[Age]]&lt;=34, "25 - 34", IF(Table2[[#This Row],[Age]]&lt;=44, "35 - 44", IF(Table2[[#This Row],[Age]]&lt;=54, "45 - 54", "55 - 59"))))</f>
        <v>18 - 24</v>
      </c>
      <c r="K465" t="str">
        <f>IF(Table2[[#This Row],[Age]]&lt;=24, "Young Adults", IF(Table2[[#This Row],[Age]]&lt;=34, "Early Career", IF(Table2[[#This Row],[Age]]&lt;=44, "Mid Career", IF(Table2[[#This Row],[Age]]&lt;=54, "Mature Adults", "Pre-retirment"))))</f>
        <v>Young Adults</v>
      </c>
      <c r="L465" t="s">
        <v>13</v>
      </c>
      <c r="M465">
        <v>3</v>
      </c>
      <c r="N465" t="str">
        <f t="shared" si="7"/>
        <v>Moderate User</v>
      </c>
    </row>
    <row r="466" spans="1:14" x14ac:dyDescent="0.25">
      <c r="A466">
        <v>465</v>
      </c>
      <c r="B466" t="s">
        <v>16</v>
      </c>
      <c r="C466" t="s">
        <v>12</v>
      </c>
      <c r="D466">
        <v>68</v>
      </c>
      <c r="E466">
        <v>1.3</v>
      </c>
      <c r="F466">
        <v>583</v>
      </c>
      <c r="G466">
        <v>10</v>
      </c>
      <c r="H466">
        <v>281</v>
      </c>
      <c r="I466">
        <v>26</v>
      </c>
      <c r="J466" t="str">
        <f>IF(Table2[[#This Row],[Age]]&lt;=24, "18 - 24", IF(Table2[[#This Row],[Age]]&lt;=34, "25 - 34", IF(Table2[[#This Row],[Age]]&lt;=44, "35 - 44", IF(Table2[[#This Row],[Age]]&lt;=54, "45 - 54", "55 - 59"))))</f>
        <v>25 - 34</v>
      </c>
      <c r="K466" t="str">
        <f>IF(Table2[[#This Row],[Age]]&lt;=24, "Young Adults", IF(Table2[[#This Row],[Age]]&lt;=34, "Early Career", IF(Table2[[#This Row],[Age]]&lt;=44, "Mid Career", IF(Table2[[#This Row],[Age]]&lt;=54, "Mature Adults", "Pre-retirment"))))</f>
        <v>Early Career</v>
      </c>
      <c r="L466" t="s">
        <v>15</v>
      </c>
      <c r="M466">
        <v>1</v>
      </c>
      <c r="N466" t="str">
        <f t="shared" si="7"/>
        <v>Light User</v>
      </c>
    </row>
    <row r="467" spans="1:14" x14ac:dyDescent="0.25">
      <c r="A467">
        <v>466</v>
      </c>
      <c r="B467" t="s">
        <v>14</v>
      </c>
      <c r="C467" t="s">
        <v>12</v>
      </c>
      <c r="D467">
        <v>265</v>
      </c>
      <c r="E467">
        <v>4.8</v>
      </c>
      <c r="F467">
        <v>1770</v>
      </c>
      <c r="G467">
        <v>51</v>
      </c>
      <c r="H467">
        <v>723</v>
      </c>
      <c r="I467">
        <v>55</v>
      </c>
      <c r="J467" t="str">
        <f>IF(Table2[[#This Row],[Age]]&lt;=24, "18 - 24", IF(Table2[[#This Row],[Age]]&lt;=34, "25 - 34", IF(Table2[[#This Row],[Age]]&lt;=44, "35 - 44", IF(Table2[[#This Row],[Age]]&lt;=54, "45 - 54", "55 - 59"))))</f>
        <v>55 - 59</v>
      </c>
      <c r="K467" t="str">
        <f>IF(Table2[[#This Row],[Age]]&lt;=24, "Young Adults", IF(Table2[[#This Row],[Age]]&lt;=34, "Early Career", IF(Table2[[#This Row],[Age]]&lt;=44, "Mid Career", IF(Table2[[#This Row],[Age]]&lt;=54, "Mature Adults", "Pre-retirment"))))</f>
        <v>Pre-retirment</v>
      </c>
      <c r="L467" t="s">
        <v>15</v>
      </c>
      <c r="M467">
        <v>3</v>
      </c>
      <c r="N467" t="str">
        <f t="shared" si="7"/>
        <v>Moderate User</v>
      </c>
    </row>
    <row r="468" spans="1:14" x14ac:dyDescent="0.25">
      <c r="A468">
        <v>467</v>
      </c>
      <c r="B468" t="s">
        <v>19</v>
      </c>
      <c r="C468" t="s">
        <v>12</v>
      </c>
      <c r="D468">
        <v>414</v>
      </c>
      <c r="E468">
        <v>7.3</v>
      </c>
      <c r="F468">
        <v>2349</v>
      </c>
      <c r="G468">
        <v>75</v>
      </c>
      <c r="H468">
        <v>1092</v>
      </c>
      <c r="I468">
        <v>51</v>
      </c>
      <c r="J468" t="str">
        <f>IF(Table2[[#This Row],[Age]]&lt;=24, "18 - 24", IF(Table2[[#This Row],[Age]]&lt;=34, "25 - 34", IF(Table2[[#This Row],[Age]]&lt;=44, "35 - 44", IF(Table2[[#This Row],[Age]]&lt;=54, "45 - 54", "55 - 59"))))</f>
        <v>45 - 54</v>
      </c>
      <c r="K468" t="str">
        <f>IF(Table2[[#This Row],[Age]]&lt;=24, "Young Adults", IF(Table2[[#This Row],[Age]]&lt;=34, "Early Career", IF(Table2[[#This Row],[Age]]&lt;=44, "Mid Career", IF(Table2[[#This Row],[Age]]&lt;=54, "Mature Adults", "Pre-retirment"))))</f>
        <v>Mature Adults</v>
      </c>
      <c r="L468" t="s">
        <v>13</v>
      </c>
      <c r="M468">
        <v>4</v>
      </c>
      <c r="N468" t="str">
        <f t="shared" si="7"/>
        <v>Heavy User</v>
      </c>
    </row>
    <row r="469" spans="1:14" x14ac:dyDescent="0.25">
      <c r="A469">
        <v>468</v>
      </c>
      <c r="B469" t="s">
        <v>11</v>
      </c>
      <c r="C469" t="s">
        <v>12</v>
      </c>
      <c r="D469">
        <v>238</v>
      </c>
      <c r="E469">
        <v>4</v>
      </c>
      <c r="F469">
        <v>1414</v>
      </c>
      <c r="G469">
        <v>47</v>
      </c>
      <c r="H469">
        <v>661</v>
      </c>
      <c r="I469">
        <v>41</v>
      </c>
      <c r="J469" t="str">
        <f>IF(Table2[[#This Row],[Age]]&lt;=24, "18 - 24", IF(Table2[[#This Row],[Age]]&lt;=34, "25 - 34", IF(Table2[[#This Row],[Age]]&lt;=44, "35 - 44", IF(Table2[[#This Row],[Age]]&lt;=54, "45 - 54", "55 - 59"))))</f>
        <v>35 - 44</v>
      </c>
      <c r="K469" t="str">
        <f>IF(Table2[[#This Row],[Age]]&lt;=24, "Young Adults", IF(Table2[[#This Row],[Age]]&lt;=34, "Early Career", IF(Table2[[#This Row],[Age]]&lt;=44, "Mid Career", IF(Table2[[#This Row],[Age]]&lt;=54, "Mature Adults", "Pre-retirment"))))</f>
        <v>Mid Career</v>
      </c>
      <c r="L469" t="s">
        <v>15</v>
      </c>
      <c r="M469">
        <v>3</v>
      </c>
      <c r="N469" t="str">
        <f t="shared" si="7"/>
        <v>Moderate User</v>
      </c>
    </row>
    <row r="470" spans="1:14" x14ac:dyDescent="0.25">
      <c r="A470">
        <v>469</v>
      </c>
      <c r="B470" t="s">
        <v>16</v>
      </c>
      <c r="C470" t="s">
        <v>12</v>
      </c>
      <c r="D470">
        <v>429</v>
      </c>
      <c r="E470">
        <v>7.5</v>
      </c>
      <c r="F470">
        <v>1921</v>
      </c>
      <c r="G470">
        <v>61</v>
      </c>
      <c r="H470">
        <v>1102</v>
      </c>
      <c r="I470">
        <v>46</v>
      </c>
      <c r="J470" t="str">
        <f>IF(Table2[[#This Row],[Age]]&lt;=24, "18 - 24", IF(Table2[[#This Row],[Age]]&lt;=34, "25 - 34", IF(Table2[[#This Row],[Age]]&lt;=44, "35 - 44", IF(Table2[[#This Row],[Age]]&lt;=54, "45 - 54", "55 - 59"))))</f>
        <v>45 - 54</v>
      </c>
      <c r="K470" t="str">
        <f>IF(Table2[[#This Row],[Age]]&lt;=24, "Young Adults", IF(Table2[[#This Row],[Age]]&lt;=34, "Early Career", IF(Table2[[#This Row],[Age]]&lt;=44, "Mid Career", IF(Table2[[#This Row],[Age]]&lt;=54, "Mature Adults", "Pre-retirment"))))</f>
        <v>Mature Adults</v>
      </c>
      <c r="L470" t="s">
        <v>13</v>
      </c>
      <c r="M470">
        <v>4</v>
      </c>
      <c r="N470" t="str">
        <f t="shared" si="7"/>
        <v>Heavy User</v>
      </c>
    </row>
    <row r="471" spans="1:14" x14ac:dyDescent="0.25">
      <c r="A471">
        <v>470</v>
      </c>
      <c r="B471" t="s">
        <v>16</v>
      </c>
      <c r="C471" t="s">
        <v>12</v>
      </c>
      <c r="D471">
        <v>39</v>
      </c>
      <c r="E471">
        <v>1.9</v>
      </c>
      <c r="F471">
        <v>541</v>
      </c>
      <c r="G471">
        <v>16</v>
      </c>
      <c r="H471">
        <v>294</v>
      </c>
      <c r="I471">
        <v>37</v>
      </c>
      <c r="J471" t="str">
        <f>IF(Table2[[#This Row],[Age]]&lt;=24, "18 - 24", IF(Table2[[#This Row],[Age]]&lt;=34, "25 - 34", IF(Table2[[#This Row],[Age]]&lt;=44, "35 - 44", IF(Table2[[#This Row],[Age]]&lt;=54, "45 - 54", "55 - 59"))))</f>
        <v>35 - 44</v>
      </c>
      <c r="K471" t="str">
        <f>IF(Table2[[#This Row],[Age]]&lt;=24, "Young Adults", IF(Table2[[#This Row],[Age]]&lt;=34, "Early Career", IF(Table2[[#This Row],[Age]]&lt;=44, "Mid Career", IF(Table2[[#This Row],[Age]]&lt;=54, "Mature Adults", "Pre-retirment"))))</f>
        <v>Mid Career</v>
      </c>
      <c r="L471" t="s">
        <v>13</v>
      </c>
      <c r="M471">
        <v>1</v>
      </c>
      <c r="N471" t="str">
        <f t="shared" si="7"/>
        <v>Light User</v>
      </c>
    </row>
    <row r="472" spans="1:14" x14ac:dyDescent="0.25">
      <c r="A472">
        <v>471</v>
      </c>
      <c r="B472" t="s">
        <v>19</v>
      </c>
      <c r="C472" t="s">
        <v>12</v>
      </c>
      <c r="D472">
        <v>248</v>
      </c>
      <c r="E472">
        <v>4.5999999999999996</v>
      </c>
      <c r="F472">
        <v>1396</v>
      </c>
      <c r="G472">
        <v>52</v>
      </c>
      <c r="H472">
        <v>883</v>
      </c>
      <c r="I472">
        <v>40</v>
      </c>
      <c r="J472" t="str">
        <f>IF(Table2[[#This Row],[Age]]&lt;=24, "18 - 24", IF(Table2[[#This Row],[Age]]&lt;=34, "25 - 34", IF(Table2[[#This Row],[Age]]&lt;=44, "35 - 44", IF(Table2[[#This Row],[Age]]&lt;=54, "45 - 54", "55 - 59"))))</f>
        <v>35 - 44</v>
      </c>
      <c r="K472" t="str">
        <f>IF(Table2[[#This Row],[Age]]&lt;=24, "Young Adults", IF(Table2[[#This Row],[Age]]&lt;=34, "Early Career", IF(Table2[[#This Row],[Age]]&lt;=44, "Mid Career", IF(Table2[[#This Row],[Age]]&lt;=54, "Mature Adults", "Pre-retirment"))))</f>
        <v>Mid Career</v>
      </c>
      <c r="L472" t="s">
        <v>13</v>
      </c>
      <c r="M472">
        <v>3</v>
      </c>
      <c r="N472" t="str">
        <f t="shared" si="7"/>
        <v>Moderate User</v>
      </c>
    </row>
    <row r="473" spans="1:14" x14ac:dyDescent="0.25">
      <c r="A473">
        <v>472</v>
      </c>
      <c r="B473" t="s">
        <v>16</v>
      </c>
      <c r="C473" t="s">
        <v>12</v>
      </c>
      <c r="D473">
        <v>541</v>
      </c>
      <c r="E473">
        <v>9.4</v>
      </c>
      <c r="F473">
        <v>2452</v>
      </c>
      <c r="G473">
        <v>93</v>
      </c>
      <c r="H473">
        <v>1811</v>
      </c>
      <c r="I473">
        <v>53</v>
      </c>
      <c r="J473" t="str">
        <f>IF(Table2[[#This Row],[Age]]&lt;=24, "18 - 24", IF(Table2[[#This Row],[Age]]&lt;=34, "25 - 34", IF(Table2[[#This Row],[Age]]&lt;=44, "35 - 44", IF(Table2[[#This Row],[Age]]&lt;=54, "45 - 54", "55 - 59"))))</f>
        <v>45 - 54</v>
      </c>
      <c r="K473" t="str">
        <f>IF(Table2[[#This Row],[Age]]&lt;=24, "Young Adults", IF(Table2[[#This Row],[Age]]&lt;=34, "Early Career", IF(Table2[[#This Row],[Age]]&lt;=44, "Mid Career", IF(Table2[[#This Row],[Age]]&lt;=54, "Mature Adults", "Pre-retirment"))))</f>
        <v>Mature Adults</v>
      </c>
      <c r="L473" t="s">
        <v>15</v>
      </c>
      <c r="M473">
        <v>5</v>
      </c>
      <c r="N473" t="str">
        <f t="shared" si="7"/>
        <v>Heavy User</v>
      </c>
    </row>
    <row r="474" spans="1:14" x14ac:dyDescent="0.25">
      <c r="A474">
        <v>473</v>
      </c>
      <c r="B474" t="s">
        <v>16</v>
      </c>
      <c r="C474" t="s">
        <v>12</v>
      </c>
      <c r="D474">
        <v>139</v>
      </c>
      <c r="E474">
        <v>3</v>
      </c>
      <c r="F474">
        <v>697</v>
      </c>
      <c r="G474">
        <v>37</v>
      </c>
      <c r="H474">
        <v>513</v>
      </c>
      <c r="I474">
        <v>26</v>
      </c>
      <c r="J474" t="str">
        <f>IF(Table2[[#This Row],[Age]]&lt;=24, "18 - 24", IF(Table2[[#This Row],[Age]]&lt;=34, "25 - 34", IF(Table2[[#This Row],[Age]]&lt;=44, "35 - 44", IF(Table2[[#This Row],[Age]]&lt;=54, "45 - 54", "55 - 59"))))</f>
        <v>25 - 34</v>
      </c>
      <c r="K474" t="str">
        <f>IF(Table2[[#This Row],[Age]]&lt;=24, "Young Adults", IF(Table2[[#This Row],[Age]]&lt;=34, "Early Career", IF(Table2[[#This Row],[Age]]&lt;=44, "Mid Career", IF(Table2[[#This Row],[Age]]&lt;=54, "Mature Adults", "Pre-retirment"))))</f>
        <v>Early Career</v>
      </c>
      <c r="L474" t="s">
        <v>15</v>
      </c>
      <c r="M474">
        <v>2</v>
      </c>
      <c r="N474" t="str">
        <f t="shared" si="7"/>
        <v>Light User</v>
      </c>
    </row>
    <row r="475" spans="1:14" x14ac:dyDescent="0.25">
      <c r="A475">
        <v>474</v>
      </c>
      <c r="B475" t="s">
        <v>17</v>
      </c>
      <c r="C475" t="s">
        <v>18</v>
      </c>
      <c r="D475">
        <v>289</v>
      </c>
      <c r="E475">
        <v>5</v>
      </c>
      <c r="F475">
        <v>1625</v>
      </c>
      <c r="G475">
        <v>45</v>
      </c>
      <c r="H475">
        <v>687</v>
      </c>
      <c r="I475">
        <v>29</v>
      </c>
      <c r="J475" t="str">
        <f>IF(Table2[[#This Row],[Age]]&lt;=24, "18 - 24", IF(Table2[[#This Row],[Age]]&lt;=34, "25 - 34", IF(Table2[[#This Row],[Age]]&lt;=44, "35 - 44", IF(Table2[[#This Row],[Age]]&lt;=54, "45 - 54", "55 - 59"))))</f>
        <v>25 - 34</v>
      </c>
      <c r="K475" t="str">
        <f>IF(Table2[[#This Row],[Age]]&lt;=24, "Young Adults", IF(Table2[[#This Row],[Age]]&lt;=34, "Early Career", IF(Table2[[#This Row],[Age]]&lt;=44, "Mid Career", IF(Table2[[#This Row],[Age]]&lt;=54, "Mature Adults", "Pre-retirment"))))</f>
        <v>Early Career</v>
      </c>
      <c r="L475" t="s">
        <v>13</v>
      </c>
      <c r="M475">
        <v>3</v>
      </c>
      <c r="N475" t="str">
        <f t="shared" si="7"/>
        <v>Moderate User</v>
      </c>
    </row>
    <row r="476" spans="1:14" x14ac:dyDescent="0.25">
      <c r="A476">
        <v>475</v>
      </c>
      <c r="B476" t="s">
        <v>16</v>
      </c>
      <c r="C476" t="s">
        <v>12</v>
      </c>
      <c r="D476">
        <v>210</v>
      </c>
      <c r="E476">
        <v>4.9000000000000004</v>
      </c>
      <c r="F476">
        <v>1657</v>
      </c>
      <c r="G476">
        <v>55</v>
      </c>
      <c r="H476">
        <v>765</v>
      </c>
      <c r="I476">
        <v>49</v>
      </c>
      <c r="J476" t="str">
        <f>IF(Table2[[#This Row],[Age]]&lt;=24, "18 - 24", IF(Table2[[#This Row],[Age]]&lt;=34, "25 - 34", IF(Table2[[#This Row],[Age]]&lt;=44, "35 - 44", IF(Table2[[#This Row],[Age]]&lt;=54, "45 - 54", "55 - 59"))))</f>
        <v>45 - 54</v>
      </c>
      <c r="K476" t="str">
        <f>IF(Table2[[#This Row],[Age]]&lt;=24, "Young Adults", IF(Table2[[#This Row],[Age]]&lt;=34, "Early Career", IF(Table2[[#This Row],[Age]]&lt;=44, "Mid Career", IF(Table2[[#This Row],[Age]]&lt;=54, "Mature Adults", "Pre-retirment"))))</f>
        <v>Mature Adults</v>
      </c>
      <c r="L476" t="s">
        <v>15</v>
      </c>
      <c r="M476">
        <v>3</v>
      </c>
      <c r="N476" t="str">
        <f t="shared" si="7"/>
        <v>Moderate User</v>
      </c>
    </row>
    <row r="477" spans="1:14" x14ac:dyDescent="0.25">
      <c r="A477">
        <v>476</v>
      </c>
      <c r="B477" t="s">
        <v>19</v>
      </c>
      <c r="C477" t="s">
        <v>12</v>
      </c>
      <c r="D477">
        <v>412</v>
      </c>
      <c r="E477">
        <v>6.2</v>
      </c>
      <c r="F477">
        <v>2201</v>
      </c>
      <c r="G477">
        <v>68</v>
      </c>
      <c r="H477">
        <v>1085</v>
      </c>
      <c r="I477">
        <v>54</v>
      </c>
      <c r="J477" t="str">
        <f>IF(Table2[[#This Row],[Age]]&lt;=24, "18 - 24", IF(Table2[[#This Row],[Age]]&lt;=34, "25 - 34", IF(Table2[[#This Row],[Age]]&lt;=44, "35 - 44", IF(Table2[[#This Row],[Age]]&lt;=54, "45 - 54", "55 - 59"))))</f>
        <v>45 - 54</v>
      </c>
      <c r="K477" t="str">
        <f>IF(Table2[[#This Row],[Age]]&lt;=24, "Young Adults", IF(Table2[[#This Row],[Age]]&lt;=34, "Early Career", IF(Table2[[#This Row],[Age]]&lt;=44, "Mid Career", IF(Table2[[#This Row],[Age]]&lt;=54, "Mature Adults", "Pre-retirment"))))</f>
        <v>Mature Adults</v>
      </c>
      <c r="L477" t="s">
        <v>15</v>
      </c>
      <c r="M477">
        <v>4</v>
      </c>
      <c r="N477" t="str">
        <f t="shared" si="7"/>
        <v>Heavy User</v>
      </c>
    </row>
    <row r="478" spans="1:14" x14ac:dyDescent="0.25">
      <c r="A478">
        <v>477</v>
      </c>
      <c r="B478" t="s">
        <v>11</v>
      </c>
      <c r="C478" t="s">
        <v>12</v>
      </c>
      <c r="D478">
        <v>318</v>
      </c>
      <c r="E478">
        <v>6.6</v>
      </c>
      <c r="F478">
        <v>2089</v>
      </c>
      <c r="G478">
        <v>77</v>
      </c>
      <c r="H478">
        <v>1126</v>
      </c>
      <c r="I478">
        <v>49</v>
      </c>
      <c r="J478" t="str">
        <f>IF(Table2[[#This Row],[Age]]&lt;=24, "18 - 24", IF(Table2[[#This Row],[Age]]&lt;=34, "25 - 34", IF(Table2[[#This Row],[Age]]&lt;=44, "35 - 44", IF(Table2[[#This Row],[Age]]&lt;=54, "45 - 54", "55 - 59"))))</f>
        <v>45 - 54</v>
      </c>
      <c r="K478" t="str">
        <f>IF(Table2[[#This Row],[Age]]&lt;=24, "Young Adults", IF(Table2[[#This Row],[Age]]&lt;=34, "Early Career", IF(Table2[[#This Row],[Age]]&lt;=44, "Mid Career", IF(Table2[[#This Row],[Age]]&lt;=54, "Mature Adults", "Pre-retirment"))))</f>
        <v>Mature Adults</v>
      </c>
      <c r="L478" t="s">
        <v>15</v>
      </c>
      <c r="M478">
        <v>4</v>
      </c>
      <c r="N478" t="str">
        <f t="shared" si="7"/>
        <v>Heavy User</v>
      </c>
    </row>
    <row r="479" spans="1:14" x14ac:dyDescent="0.25">
      <c r="A479">
        <v>478</v>
      </c>
      <c r="B479" t="s">
        <v>17</v>
      </c>
      <c r="C479" t="s">
        <v>18</v>
      </c>
      <c r="D479">
        <v>258</v>
      </c>
      <c r="E479">
        <v>4.2</v>
      </c>
      <c r="F479">
        <v>1315</v>
      </c>
      <c r="G479">
        <v>44</v>
      </c>
      <c r="H479">
        <v>762</v>
      </c>
      <c r="I479">
        <v>59</v>
      </c>
      <c r="J479" t="str">
        <f>IF(Table2[[#This Row],[Age]]&lt;=24, "18 - 24", IF(Table2[[#This Row],[Age]]&lt;=34, "25 - 34", IF(Table2[[#This Row],[Age]]&lt;=44, "35 - 44", IF(Table2[[#This Row],[Age]]&lt;=54, "45 - 54", "55 - 59"))))</f>
        <v>55 - 59</v>
      </c>
      <c r="K479" t="str">
        <f>IF(Table2[[#This Row],[Age]]&lt;=24, "Young Adults", IF(Table2[[#This Row],[Age]]&lt;=34, "Early Career", IF(Table2[[#This Row],[Age]]&lt;=44, "Mid Career", IF(Table2[[#This Row],[Age]]&lt;=54, "Mature Adults", "Pre-retirment"))))</f>
        <v>Pre-retirment</v>
      </c>
      <c r="L479" t="s">
        <v>15</v>
      </c>
      <c r="M479">
        <v>3</v>
      </c>
      <c r="N479" t="str">
        <f t="shared" si="7"/>
        <v>Moderate User</v>
      </c>
    </row>
    <row r="480" spans="1:14" x14ac:dyDescent="0.25">
      <c r="A480">
        <v>479</v>
      </c>
      <c r="B480" t="s">
        <v>14</v>
      </c>
      <c r="C480" t="s">
        <v>12</v>
      </c>
      <c r="D480">
        <v>258</v>
      </c>
      <c r="E480">
        <v>4.3</v>
      </c>
      <c r="F480">
        <v>1759</v>
      </c>
      <c r="G480">
        <v>59</v>
      </c>
      <c r="H480">
        <v>718</v>
      </c>
      <c r="I480">
        <v>41</v>
      </c>
      <c r="J480" t="str">
        <f>IF(Table2[[#This Row],[Age]]&lt;=24, "18 - 24", IF(Table2[[#This Row],[Age]]&lt;=34, "25 - 34", IF(Table2[[#This Row],[Age]]&lt;=44, "35 - 44", IF(Table2[[#This Row],[Age]]&lt;=54, "45 - 54", "55 - 59"))))</f>
        <v>35 - 44</v>
      </c>
      <c r="K480" t="str">
        <f>IF(Table2[[#This Row],[Age]]&lt;=24, "Young Adults", IF(Table2[[#This Row],[Age]]&lt;=34, "Early Career", IF(Table2[[#This Row],[Age]]&lt;=44, "Mid Career", IF(Table2[[#This Row],[Age]]&lt;=54, "Mature Adults", "Pre-retirment"))))</f>
        <v>Mid Career</v>
      </c>
      <c r="L480" t="s">
        <v>15</v>
      </c>
      <c r="M480">
        <v>3</v>
      </c>
      <c r="N480" t="str">
        <f t="shared" si="7"/>
        <v>Moderate User</v>
      </c>
    </row>
    <row r="481" spans="1:14" x14ac:dyDescent="0.25">
      <c r="A481">
        <v>480</v>
      </c>
      <c r="B481" t="s">
        <v>19</v>
      </c>
      <c r="C481" t="s">
        <v>12</v>
      </c>
      <c r="D481">
        <v>189</v>
      </c>
      <c r="E481">
        <v>4.8</v>
      </c>
      <c r="F481">
        <v>1681</v>
      </c>
      <c r="G481">
        <v>59</v>
      </c>
      <c r="H481">
        <v>795</v>
      </c>
      <c r="I481">
        <v>57</v>
      </c>
      <c r="J481" t="str">
        <f>IF(Table2[[#This Row],[Age]]&lt;=24, "18 - 24", IF(Table2[[#This Row],[Age]]&lt;=34, "25 - 34", IF(Table2[[#This Row],[Age]]&lt;=44, "35 - 44", IF(Table2[[#This Row],[Age]]&lt;=54, "45 - 54", "55 - 59"))))</f>
        <v>55 - 59</v>
      </c>
      <c r="K481" t="str">
        <f>IF(Table2[[#This Row],[Age]]&lt;=24, "Young Adults", IF(Table2[[#This Row],[Age]]&lt;=34, "Early Career", IF(Table2[[#This Row],[Age]]&lt;=44, "Mid Career", IF(Table2[[#This Row],[Age]]&lt;=54, "Mature Adults", "Pre-retirment"))))</f>
        <v>Pre-retirment</v>
      </c>
      <c r="L481" t="s">
        <v>13</v>
      </c>
      <c r="M481">
        <v>3</v>
      </c>
      <c r="N481" t="str">
        <f t="shared" si="7"/>
        <v>Moderate User</v>
      </c>
    </row>
    <row r="482" spans="1:14" x14ac:dyDescent="0.25">
      <c r="A482">
        <v>481</v>
      </c>
      <c r="B482" t="s">
        <v>17</v>
      </c>
      <c r="C482" t="s">
        <v>18</v>
      </c>
      <c r="D482">
        <v>155</v>
      </c>
      <c r="E482">
        <v>2.4</v>
      </c>
      <c r="F482">
        <v>954</v>
      </c>
      <c r="G482">
        <v>39</v>
      </c>
      <c r="H482">
        <v>441</v>
      </c>
      <c r="I482">
        <v>51</v>
      </c>
      <c r="J482" t="str">
        <f>IF(Table2[[#This Row],[Age]]&lt;=24, "18 - 24", IF(Table2[[#This Row],[Age]]&lt;=34, "25 - 34", IF(Table2[[#This Row],[Age]]&lt;=44, "35 - 44", IF(Table2[[#This Row],[Age]]&lt;=54, "45 - 54", "55 - 59"))))</f>
        <v>45 - 54</v>
      </c>
      <c r="K482" t="str">
        <f>IF(Table2[[#This Row],[Age]]&lt;=24, "Young Adults", IF(Table2[[#This Row],[Age]]&lt;=34, "Early Career", IF(Table2[[#This Row],[Age]]&lt;=44, "Mid Career", IF(Table2[[#This Row],[Age]]&lt;=54, "Mature Adults", "Pre-retirment"))))</f>
        <v>Mature Adults</v>
      </c>
      <c r="L482" t="s">
        <v>13</v>
      </c>
      <c r="M482">
        <v>2</v>
      </c>
      <c r="N482" t="str">
        <f t="shared" si="7"/>
        <v>Light User</v>
      </c>
    </row>
    <row r="483" spans="1:14" x14ac:dyDescent="0.25">
      <c r="A483">
        <v>482</v>
      </c>
      <c r="B483" t="s">
        <v>19</v>
      </c>
      <c r="C483" t="s">
        <v>12</v>
      </c>
      <c r="D483">
        <v>528</v>
      </c>
      <c r="E483">
        <v>10.4</v>
      </c>
      <c r="F483">
        <v>2717</v>
      </c>
      <c r="G483">
        <v>87</v>
      </c>
      <c r="H483">
        <v>2140</v>
      </c>
      <c r="I483">
        <v>34</v>
      </c>
      <c r="J483" t="str">
        <f>IF(Table2[[#This Row],[Age]]&lt;=24, "18 - 24", IF(Table2[[#This Row],[Age]]&lt;=34, "25 - 34", IF(Table2[[#This Row],[Age]]&lt;=44, "35 - 44", IF(Table2[[#This Row],[Age]]&lt;=54, "45 - 54", "55 - 59"))))</f>
        <v>25 - 34</v>
      </c>
      <c r="K483" t="str">
        <f>IF(Table2[[#This Row],[Age]]&lt;=24, "Young Adults", IF(Table2[[#This Row],[Age]]&lt;=34, "Early Career", IF(Table2[[#This Row],[Age]]&lt;=44, "Mid Career", IF(Table2[[#This Row],[Age]]&lt;=54, "Mature Adults", "Pre-retirment"))))</f>
        <v>Early Career</v>
      </c>
      <c r="L483" t="s">
        <v>13</v>
      </c>
      <c r="M483">
        <v>5</v>
      </c>
      <c r="N483" t="str">
        <f t="shared" si="7"/>
        <v>Heavy User</v>
      </c>
    </row>
    <row r="484" spans="1:14" x14ac:dyDescent="0.25">
      <c r="A484">
        <v>483</v>
      </c>
      <c r="B484" t="s">
        <v>17</v>
      </c>
      <c r="C484" t="s">
        <v>18</v>
      </c>
      <c r="D484">
        <v>549</v>
      </c>
      <c r="E484">
        <v>11.1</v>
      </c>
      <c r="F484">
        <v>2851</v>
      </c>
      <c r="G484">
        <v>87</v>
      </c>
      <c r="H484">
        <v>1814</v>
      </c>
      <c r="I484">
        <v>56</v>
      </c>
      <c r="J484" t="str">
        <f>IF(Table2[[#This Row],[Age]]&lt;=24, "18 - 24", IF(Table2[[#This Row],[Age]]&lt;=34, "25 - 34", IF(Table2[[#This Row],[Age]]&lt;=44, "35 - 44", IF(Table2[[#This Row],[Age]]&lt;=54, "45 - 54", "55 - 59"))))</f>
        <v>55 - 59</v>
      </c>
      <c r="K484" t="str">
        <f>IF(Table2[[#This Row],[Age]]&lt;=24, "Young Adults", IF(Table2[[#This Row],[Age]]&lt;=34, "Early Career", IF(Table2[[#This Row],[Age]]&lt;=44, "Mid Career", IF(Table2[[#This Row],[Age]]&lt;=54, "Mature Adults", "Pre-retirment"))))</f>
        <v>Pre-retirment</v>
      </c>
      <c r="L484" t="s">
        <v>13</v>
      </c>
      <c r="M484">
        <v>5</v>
      </c>
      <c r="N484" t="str">
        <f t="shared" si="7"/>
        <v>Heavy User</v>
      </c>
    </row>
    <row r="485" spans="1:14" x14ac:dyDescent="0.25">
      <c r="A485">
        <v>484</v>
      </c>
      <c r="B485" t="s">
        <v>16</v>
      </c>
      <c r="C485" t="s">
        <v>12</v>
      </c>
      <c r="D485">
        <v>78</v>
      </c>
      <c r="E485">
        <v>1.6</v>
      </c>
      <c r="F485">
        <v>470</v>
      </c>
      <c r="G485">
        <v>18</v>
      </c>
      <c r="H485">
        <v>230</v>
      </c>
      <c r="I485">
        <v>49</v>
      </c>
      <c r="J485" t="str">
        <f>IF(Table2[[#This Row],[Age]]&lt;=24, "18 - 24", IF(Table2[[#This Row],[Age]]&lt;=34, "25 - 34", IF(Table2[[#This Row],[Age]]&lt;=44, "35 - 44", IF(Table2[[#This Row],[Age]]&lt;=54, "45 - 54", "55 - 59"))))</f>
        <v>45 - 54</v>
      </c>
      <c r="K485" t="str">
        <f>IF(Table2[[#This Row],[Age]]&lt;=24, "Young Adults", IF(Table2[[#This Row],[Age]]&lt;=34, "Early Career", IF(Table2[[#This Row],[Age]]&lt;=44, "Mid Career", IF(Table2[[#This Row],[Age]]&lt;=54, "Mature Adults", "Pre-retirment"))))</f>
        <v>Mature Adults</v>
      </c>
      <c r="L485" t="s">
        <v>15</v>
      </c>
      <c r="M485">
        <v>1</v>
      </c>
      <c r="N485" t="str">
        <f t="shared" si="7"/>
        <v>Light User</v>
      </c>
    </row>
    <row r="486" spans="1:14" x14ac:dyDescent="0.25">
      <c r="A486">
        <v>485</v>
      </c>
      <c r="B486" t="s">
        <v>17</v>
      </c>
      <c r="C486" t="s">
        <v>18</v>
      </c>
      <c r="D486">
        <v>444</v>
      </c>
      <c r="E486">
        <v>6</v>
      </c>
      <c r="F486">
        <v>1873</v>
      </c>
      <c r="G486">
        <v>61</v>
      </c>
      <c r="H486">
        <v>1093</v>
      </c>
      <c r="I486">
        <v>39</v>
      </c>
      <c r="J486" t="str">
        <f>IF(Table2[[#This Row],[Age]]&lt;=24, "18 - 24", IF(Table2[[#This Row],[Age]]&lt;=34, "25 - 34", IF(Table2[[#This Row],[Age]]&lt;=44, "35 - 44", IF(Table2[[#This Row],[Age]]&lt;=54, "45 - 54", "55 - 59"))))</f>
        <v>35 - 44</v>
      </c>
      <c r="K486" t="str">
        <f>IF(Table2[[#This Row],[Age]]&lt;=24, "Young Adults", IF(Table2[[#This Row],[Age]]&lt;=34, "Early Career", IF(Table2[[#This Row],[Age]]&lt;=44, "Mid Career", IF(Table2[[#This Row],[Age]]&lt;=54, "Mature Adults", "Pre-retirment"))))</f>
        <v>Mid Career</v>
      </c>
      <c r="L486" t="s">
        <v>15</v>
      </c>
      <c r="M486">
        <v>4</v>
      </c>
      <c r="N486" t="str">
        <f t="shared" si="7"/>
        <v>Heavy User</v>
      </c>
    </row>
    <row r="487" spans="1:14" x14ac:dyDescent="0.25">
      <c r="A487">
        <v>486</v>
      </c>
      <c r="B487" t="s">
        <v>16</v>
      </c>
      <c r="C487" t="s">
        <v>12</v>
      </c>
      <c r="D487">
        <v>80</v>
      </c>
      <c r="E487">
        <v>1.1000000000000001</v>
      </c>
      <c r="F487">
        <v>417</v>
      </c>
      <c r="G487">
        <v>18</v>
      </c>
      <c r="H487">
        <v>298</v>
      </c>
      <c r="I487">
        <v>36</v>
      </c>
      <c r="J487" t="str">
        <f>IF(Table2[[#This Row],[Age]]&lt;=24, "18 - 24", IF(Table2[[#This Row],[Age]]&lt;=34, "25 - 34", IF(Table2[[#This Row],[Age]]&lt;=44, "35 - 44", IF(Table2[[#This Row],[Age]]&lt;=54, "45 - 54", "55 - 59"))))</f>
        <v>35 - 44</v>
      </c>
      <c r="K487" t="str">
        <f>IF(Table2[[#This Row],[Age]]&lt;=24, "Young Adults", IF(Table2[[#This Row],[Age]]&lt;=34, "Early Career", IF(Table2[[#This Row],[Age]]&lt;=44, "Mid Career", IF(Table2[[#This Row],[Age]]&lt;=54, "Mature Adults", "Pre-retirment"))))</f>
        <v>Mid Career</v>
      </c>
      <c r="L487" t="s">
        <v>13</v>
      </c>
      <c r="M487">
        <v>1</v>
      </c>
      <c r="N487" t="str">
        <f t="shared" si="7"/>
        <v>Light User</v>
      </c>
    </row>
    <row r="488" spans="1:14" x14ac:dyDescent="0.25">
      <c r="A488">
        <v>487</v>
      </c>
      <c r="B488" t="s">
        <v>17</v>
      </c>
      <c r="C488" t="s">
        <v>18</v>
      </c>
      <c r="D488">
        <v>131</v>
      </c>
      <c r="E488">
        <v>3.8</v>
      </c>
      <c r="F488">
        <v>739</v>
      </c>
      <c r="G488">
        <v>34</v>
      </c>
      <c r="H488">
        <v>330</v>
      </c>
      <c r="I488">
        <v>57</v>
      </c>
      <c r="J488" t="str">
        <f>IF(Table2[[#This Row],[Age]]&lt;=24, "18 - 24", IF(Table2[[#This Row],[Age]]&lt;=34, "25 - 34", IF(Table2[[#This Row],[Age]]&lt;=44, "35 - 44", IF(Table2[[#This Row],[Age]]&lt;=54, "45 - 54", "55 - 59"))))</f>
        <v>55 - 59</v>
      </c>
      <c r="K488" t="str">
        <f>IF(Table2[[#This Row],[Age]]&lt;=24, "Young Adults", IF(Table2[[#This Row],[Age]]&lt;=34, "Early Career", IF(Table2[[#This Row],[Age]]&lt;=44, "Mid Career", IF(Table2[[#This Row],[Age]]&lt;=54, "Mature Adults", "Pre-retirment"))))</f>
        <v>Pre-retirment</v>
      </c>
      <c r="L488" t="s">
        <v>15</v>
      </c>
      <c r="M488">
        <v>2</v>
      </c>
      <c r="N488" t="str">
        <f t="shared" si="7"/>
        <v>Light User</v>
      </c>
    </row>
    <row r="489" spans="1:14" x14ac:dyDescent="0.25">
      <c r="A489">
        <v>488</v>
      </c>
      <c r="B489" t="s">
        <v>17</v>
      </c>
      <c r="C489" t="s">
        <v>18</v>
      </c>
      <c r="D489">
        <v>228</v>
      </c>
      <c r="E489">
        <v>4.4000000000000004</v>
      </c>
      <c r="F489">
        <v>1734</v>
      </c>
      <c r="G489">
        <v>46</v>
      </c>
      <c r="H489">
        <v>804</v>
      </c>
      <c r="I489">
        <v>57</v>
      </c>
      <c r="J489" t="str">
        <f>IF(Table2[[#This Row],[Age]]&lt;=24, "18 - 24", IF(Table2[[#This Row],[Age]]&lt;=34, "25 - 34", IF(Table2[[#This Row],[Age]]&lt;=44, "35 - 44", IF(Table2[[#This Row],[Age]]&lt;=54, "45 - 54", "55 - 59"))))</f>
        <v>55 - 59</v>
      </c>
      <c r="K489" t="str">
        <f>IF(Table2[[#This Row],[Age]]&lt;=24, "Young Adults", IF(Table2[[#This Row],[Age]]&lt;=34, "Early Career", IF(Table2[[#This Row],[Age]]&lt;=44, "Mid Career", IF(Table2[[#This Row],[Age]]&lt;=54, "Mature Adults", "Pre-retirment"))))</f>
        <v>Pre-retirment</v>
      </c>
      <c r="L489" t="s">
        <v>15</v>
      </c>
      <c r="M489">
        <v>3</v>
      </c>
      <c r="N489" t="str">
        <f t="shared" si="7"/>
        <v>Moderate User</v>
      </c>
    </row>
    <row r="490" spans="1:14" x14ac:dyDescent="0.25">
      <c r="A490">
        <v>489</v>
      </c>
      <c r="B490" t="s">
        <v>16</v>
      </c>
      <c r="C490" t="s">
        <v>12</v>
      </c>
      <c r="D490">
        <v>416</v>
      </c>
      <c r="E490">
        <v>7.3</v>
      </c>
      <c r="F490">
        <v>1882</v>
      </c>
      <c r="G490">
        <v>62</v>
      </c>
      <c r="H490">
        <v>1333</v>
      </c>
      <c r="I490">
        <v>32</v>
      </c>
      <c r="J490" t="str">
        <f>IF(Table2[[#This Row],[Age]]&lt;=24, "18 - 24", IF(Table2[[#This Row],[Age]]&lt;=34, "25 - 34", IF(Table2[[#This Row],[Age]]&lt;=44, "35 - 44", IF(Table2[[#This Row],[Age]]&lt;=54, "45 - 54", "55 - 59"))))</f>
        <v>25 - 34</v>
      </c>
      <c r="K490" t="str">
        <f>IF(Table2[[#This Row],[Age]]&lt;=24, "Young Adults", IF(Table2[[#This Row],[Age]]&lt;=34, "Early Career", IF(Table2[[#This Row],[Age]]&lt;=44, "Mid Career", IF(Table2[[#This Row],[Age]]&lt;=54, "Mature Adults", "Pre-retirment"))))</f>
        <v>Early Career</v>
      </c>
      <c r="L490" t="s">
        <v>15</v>
      </c>
      <c r="M490">
        <v>4</v>
      </c>
      <c r="N490" t="str">
        <f t="shared" si="7"/>
        <v>Heavy User</v>
      </c>
    </row>
    <row r="491" spans="1:14" x14ac:dyDescent="0.25">
      <c r="A491">
        <v>490</v>
      </c>
      <c r="B491" t="s">
        <v>11</v>
      </c>
      <c r="C491" t="s">
        <v>12</v>
      </c>
      <c r="D491">
        <v>586</v>
      </c>
      <c r="E491">
        <v>9.3000000000000007</v>
      </c>
      <c r="F491">
        <v>2403</v>
      </c>
      <c r="G491">
        <v>94</v>
      </c>
      <c r="H491">
        <v>2332</v>
      </c>
      <c r="I491">
        <v>21</v>
      </c>
      <c r="J491" t="str">
        <f>IF(Table2[[#This Row],[Age]]&lt;=24, "18 - 24", IF(Table2[[#This Row],[Age]]&lt;=34, "25 - 34", IF(Table2[[#This Row],[Age]]&lt;=44, "35 - 44", IF(Table2[[#This Row],[Age]]&lt;=54, "45 - 54", "55 - 59"))))</f>
        <v>18 - 24</v>
      </c>
      <c r="K491" t="str">
        <f>IF(Table2[[#This Row],[Age]]&lt;=24, "Young Adults", IF(Table2[[#This Row],[Age]]&lt;=34, "Early Career", IF(Table2[[#This Row],[Age]]&lt;=44, "Mid Career", IF(Table2[[#This Row],[Age]]&lt;=54, "Mature Adults", "Pre-retirment"))))</f>
        <v>Young Adults</v>
      </c>
      <c r="L491" t="s">
        <v>13</v>
      </c>
      <c r="M491">
        <v>5</v>
      </c>
      <c r="N491" t="str">
        <f t="shared" si="7"/>
        <v>Heavy User</v>
      </c>
    </row>
    <row r="492" spans="1:14" x14ac:dyDescent="0.25">
      <c r="A492">
        <v>491</v>
      </c>
      <c r="B492" t="s">
        <v>11</v>
      </c>
      <c r="C492" t="s">
        <v>12</v>
      </c>
      <c r="D492">
        <v>416</v>
      </c>
      <c r="E492">
        <v>6.1</v>
      </c>
      <c r="F492">
        <v>2279</v>
      </c>
      <c r="G492">
        <v>71</v>
      </c>
      <c r="H492">
        <v>1096</v>
      </c>
      <c r="I492">
        <v>47</v>
      </c>
      <c r="J492" t="str">
        <f>IF(Table2[[#This Row],[Age]]&lt;=24, "18 - 24", IF(Table2[[#This Row],[Age]]&lt;=34, "25 - 34", IF(Table2[[#This Row],[Age]]&lt;=44, "35 - 44", IF(Table2[[#This Row],[Age]]&lt;=54, "45 - 54", "55 - 59"))))</f>
        <v>45 - 54</v>
      </c>
      <c r="K492" t="str">
        <f>IF(Table2[[#This Row],[Age]]&lt;=24, "Young Adults", IF(Table2[[#This Row],[Age]]&lt;=34, "Early Career", IF(Table2[[#This Row],[Age]]&lt;=44, "Mid Career", IF(Table2[[#This Row],[Age]]&lt;=54, "Mature Adults", "Pre-retirment"))))</f>
        <v>Mature Adults</v>
      </c>
      <c r="L492" t="s">
        <v>13</v>
      </c>
      <c r="M492">
        <v>4</v>
      </c>
      <c r="N492" t="str">
        <f t="shared" si="7"/>
        <v>Heavy User</v>
      </c>
    </row>
    <row r="493" spans="1:14" x14ac:dyDescent="0.25">
      <c r="A493">
        <v>492</v>
      </c>
      <c r="B493" t="s">
        <v>17</v>
      </c>
      <c r="C493" t="s">
        <v>18</v>
      </c>
      <c r="D493">
        <v>152</v>
      </c>
      <c r="E493">
        <v>3.7</v>
      </c>
      <c r="F493">
        <v>948</v>
      </c>
      <c r="G493">
        <v>22</v>
      </c>
      <c r="H493">
        <v>507</v>
      </c>
      <c r="I493">
        <v>53</v>
      </c>
      <c r="J493" t="str">
        <f>IF(Table2[[#This Row],[Age]]&lt;=24, "18 - 24", IF(Table2[[#This Row],[Age]]&lt;=34, "25 - 34", IF(Table2[[#This Row],[Age]]&lt;=44, "35 - 44", IF(Table2[[#This Row],[Age]]&lt;=54, "45 - 54", "55 - 59"))))</f>
        <v>45 - 54</v>
      </c>
      <c r="K493" t="str">
        <f>IF(Table2[[#This Row],[Age]]&lt;=24, "Young Adults", IF(Table2[[#This Row],[Age]]&lt;=34, "Early Career", IF(Table2[[#This Row],[Age]]&lt;=44, "Mid Career", IF(Table2[[#This Row],[Age]]&lt;=54, "Mature Adults", "Pre-retirment"))))</f>
        <v>Mature Adults</v>
      </c>
      <c r="L493" t="s">
        <v>15</v>
      </c>
      <c r="M493">
        <v>2</v>
      </c>
      <c r="N493" t="str">
        <f t="shared" si="7"/>
        <v>Light User</v>
      </c>
    </row>
    <row r="494" spans="1:14" x14ac:dyDescent="0.25">
      <c r="A494">
        <v>493</v>
      </c>
      <c r="B494" t="s">
        <v>16</v>
      </c>
      <c r="C494" t="s">
        <v>12</v>
      </c>
      <c r="D494">
        <v>87</v>
      </c>
      <c r="E494">
        <v>1.5</v>
      </c>
      <c r="F494">
        <v>594</v>
      </c>
      <c r="G494">
        <v>19</v>
      </c>
      <c r="H494">
        <v>198</v>
      </c>
      <c r="I494">
        <v>36</v>
      </c>
      <c r="J494" t="str">
        <f>IF(Table2[[#This Row],[Age]]&lt;=24, "18 - 24", IF(Table2[[#This Row],[Age]]&lt;=34, "25 - 34", IF(Table2[[#This Row],[Age]]&lt;=44, "35 - 44", IF(Table2[[#This Row],[Age]]&lt;=54, "45 - 54", "55 - 59"))))</f>
        <v>35 - 44</v>
      </c>
      <c r="K494" t="str">
        <f>IF(Table2[[#This Row],[Age]]&lt;=24, "Young Adults", IF(Table2[[#This Row],[Age]]&lt;=34, "Early Career", IF(Table2[[#This Row],[Age]]&lt;=44, "Mid Career", IF(Table2[[#This Row],[Age]]&lt;=54, "Mature Adults", "Pre-retirment"))))</f>
        <v>Mid Career</v>
      </c>
      <c r="L494" t="s">
        <v>15</v>
      </c>
      <c r="M494">
        <v>1</v>
      </c>
      <c r="N494" t="str">
        <f t="shared" si="7"/>
        <v>Light User</v>
      </c>
    </row>
    <row r="495" spans="1:14" x14ac:dyDescent="0.25">
      <c r="A495">
        <v>494</v>
      </c>
      <c r="B495" t="s">
        <v>14</v>
      </c>
      <c r="C495" t="s">
        <v>12</v>
      </c>
      <c r="D495">
        <v>329</v>
      </c>
      <c r="E495">
        <v>6.8</v>
      </c>
      <c r="F495">
        <v>1892</v>
      </c>
      <c r="G495">
        <v>69</v>
      </c>
      <c r="H495">
        <v>1383</v>
      </c>
      <c r="I495">
        <v>23</v>
      </c>
      <c r="J495" t="str">
        <f>IF(Table2[[#This Row],[Age]]&lt;=24, "18 - 24", IF(Table2[[#This Row],[Age]]&lt;=34, "25 - 34", IF(Table2[[#This Row],[Age]]&lt;=44, "35 - 44", IF(Table2[[#This Row],[Age]]&lt;=54, "45 - 54", "55 - 59"))))</f>
        <v>18 - 24</v>
      </c>
      <c r="K495" t="str">
        <f>IF(Table2[[#This Row],[Age]]&lt;=24, "Young Adults", IF(Table2[[#This Row],[Age]]&lt;=34, "Early Career", IF(Table2[[#This Row],[Age]]&lt;=44, "Mid Career", IF(Table2[[#This Row],[Age]]&lt;=54, "Mature Adults", "Pre-retirment"))))</f>
        <v>Young Adults</v>
      </c>
      <c r="L495" t="s">
        <v>13</v>
      </c>
      <c r="M495">
        <v>4</v>
      </c>
      <c r="N495" t="str">
        <f t="shared" si="7"/>
        <v>Heavy User</v>
      </c>
    </row>
    <row r="496" spans="1:14" x14ac:dyDescent="0.25">
      <c r="A496">
        <v>495</v>
      </c>
      <c r="B496" t="s">
        <v>19</v>
      </c>
      <c r="C496" t="s">
        <v>12</v>
      </c>
      <c r="D496">
        <v>107</v>
      </c>
      <c r="E496">
        <v>2.5</v>
      </c>
      <c r="F496">
        <v>1176</v>
      </c>
      <c r="G496">
        <v>24</v>
      </c>
      <c r="H496">
        <v>545</v>
      </c>
      <c r="I496">
        <v>29</v>
      </c>
      <c r="J496" t="str">
        <f>IF(Table2[[#This Row],[Age]]&lt;=24, "18 - 24", IF(Table2[[#This Row],[Age]]&lt;=34, "25 - 34", IF(Table2[[#This Row],[Age]]&lt;=44, "35 - 44", IF(Table2[[#This Row],[Age]]&lt;=54, "45 - 54", "55 - 59"))))</f>
        <v>25 - 34</v>
      </c>
      <c r="K496" t="str">
        <f>IF(Table2[[#This Row],[Age]]&lt;=24, "Young Adults", IF(Table2[[#This Row],[Age]]&lt;=34, "Early Career", IF(Table2[[#This Row],[Age]]&lt;=44, "Mid Career", IF(Table2[[#This Row],[Age]]&lt;=54, "Mature Adults", "Pre-retirment"))))</f>
        <v>Early Career</v>
      </c>
      <c r="L496" t="s">
        <v>15</v>
      </c>
      <c r="M496">
        <v>2</v>
      </c>
      <c r="N496" t="str">
        <f t="shared" si="7"/>
        <v>Light User</v>
      </c>
    </row>
    <row r="497" spans="1:14" x14ac:dyDescent="0.25">
      <c r="A497">
        <v>496</v>
      </c>
      <c r="B497" t="s">
        <v>11</v>
      </c>
      <c r="C497" t="s">
        <v>12</v>
      </c>
      <c r="D497">
        <v>493</v>
      </c>
      <c r="E497">
        <v>10.9</v>
      </c>
      <c r="F497">
        <v>2928</v>
      </c>
      <c r="G497">
        <v>88</v>
      </c>
      <c r="H497">
        <v>2116</v>
      </c>
      <c r="I497">
        <v>57</v>
      </c>
      <c r="J497" t="str">
        <f>IF(Table2[[#This Row],[Age]]&lt;=24, "18 - 24", IF(Table2[[#This Row],[Age]]&lt;=34, "25 - 34", IF(Table2[[#This Row],[Age]]&lt;=44, "35 - 44", IF(Table2[[#This Row],[Age]]&lt;=54, "45 - 54", "55 - 59"))))</f>
        <v>55 - 59</v>
      </c>
      <c r="K497" t="str">
        <f>IF(Table2[[#This Row],[Age]]&lt;=24, "Young Adults", IF(Table2[[#This Row],[Age]]&lt;=34, "Early Career", IF(Table2[[#This Row],[Age]]&lt;=44, "Mid Career", IF(Table2[[#This Row],[Age]]&lt;=54, "Mature Adults", "Pre-retirment"))))</f>
        <v>Pre-retirment</v>
      </c>
      <c r="L497" t="s">
        <v>13</v>
      </c>
      <c r="M497">
        <v>5</v>
      </c>
      <c r="N497" t="str">
        <f t="shared" si="7"/>
        <v>Heavy User</v>
      </c>
    </row>
    <row r="498" spans="1:14" x14ac:dyDescent="0.25">
      <c r="A498">
        <v>497</v>
      </c>
      <c r="B498" t="s">
        <v>17</v>
      </c>
      <c r="C498" t="s">
        <v>18</v>
      </c>
      <c r="D498">
        <v>182</v>
      </c>
      <c r="E498">
        <v>4.8</v>
      </c>
      <c r="F498">
        <v>1500</v>
      </c>
      <c r="G498">
        <v>51</v>
      </c>
      <c r="H498">
        <v>807</v>
      </c>
      <c r="I498">
        <v>43</v>
      </c>
      <c r="J498" t="str">
        <f>IF(Table2[[#This Row],[Age]]&lt;=24, "18 - 24", IF(Table2[[#This Row],[Age]]&lt;=34, "25 - 34", IF(Table2[[#This Row],[Age]]&lt;=44, "35 - 44", IF(Table2[[#This Row],[Age]]&lt;=54, "45 - 54", "55 - 59"))))</f>
        <v>35 - 44</v>
      </c>
      <c r="K498" t="str">
        <f>IF(Table2[[#This Row],[Age]]&lt;=24, "Young Adults", IF(Table2[[#This Row],[Age]]&lt;=34, "Early Career", IF(Table2[[#This Row],[Age]]&lt;=44, "Mid Career", IF(Table2[[#This Row],[Age]]&lt;=54, "Mature Adults", "Pre-retirment"))))</f>
        <v>Mid Career</v>
      </c>
      <c r="L498" t="s">
        <v>15</v>
      </c>
      <c r="M498">
        <v>3</v>
      </c>
      <c r="N498" t="str">
        <f t="shared" si="7"/>
        <v>Moderate User</v>
      </c>
    </row>
    <row r="499" spans="1:14" x14ac:dyDescent="0.25">
      <c r="A499">
        <v>498</v>
      </c>
      <c r="B499" t="s">
        <v>17</v>
      </c>
      <c r="C499" t="s">
        <v>18</v>
      </c>
      <c r="D499">
        <v>102</v>
      </c>
      <c r="E499">
        <v>2.9</v>
      </c>
      <c r="F499">
        <v>918</v>
      </c>
      <c r="G499">
        <v>37</v>
      </c>
      <c r="H499">
        <v>362</v>
      </c>
      <c r="I499">
        <v>20</v>
      </c>
      <c r="J499" t="str">
        <f>IF(Table2[[#This Row],[Age]]&lt;=24, "18 - 24", IF(Table2[[#This Row],[Age]]&lt;=34, "25 - 34", IF(Table2[[#This Row],[Age]]&lt;=44, "35 - 44", IF(Table2[[#This Row],[Age]]&lt;=54, "45 - 54", "55 - 59"))))</f>
        <v>18 - 24</v>
      </c>
      <c r="K499" t="str">
        <f>IF(Table2[[#This Row],[Age]]&lt;=24, "Young Adults", IF(Table2[[#This Row],[Age]]&lt;=34, "Early Career", IF(Table2[[#This Row],[Age]]&lt;=44, "Mid Career", IF(Table2[[#This Row],[Age]]&lt;=54, "Mature Adults", "Pre-retirment"))))</f>
        <v>Young Adults</v>
      </c>
      <c r="L499" t="s">
        <v>15</v>
      </c>
      <c r="M499">
        <v>2</v>
      </c>
      <c r="N499" t="str">
        <f t="shared" si="7"/>
        <v>Light User</v>
      </c>
    </row>
    <row r="500" spans="1:14" x14ac:dyDescent="0.25">
      <c r="A500">
        <v>499</v>
      </c>
      <c r="B500" t="s">
        <v>11</v>
      </c>
      <c r="C500" t="s">
        <v>12</v>
      </c>
      <c r="D500">
        <v>274</v>
      </c>
      <c r="E500">
        <v>4.5</v>
      </c>
      <c r="F500">
        <v>1356</v>
      </c>
      <c r="G500">
        <v>54</v>
      </c>
      <c r="H500">
        <v>869</v>
      </c>
      <c r="I500">
        <v>53</v>
      </c>
      <c r="J500" t="str">
        <f>IF(Table2[[#This Row],[Age]]&lt;=24, "18 - 24", IF(Table2[[#This Row],[Age]]&lt;=34, "25 - 34", IF(Table2[[#This Row],[Age]]&lt;=44, "35 - 44", IF(Table2[[#This Row],[Age]]&lt;=54, "45 - 54", "55 - 59"))))</f>
        <v>45 - 54</v>
      </c>
      <c r="K500" t="str">
        <f>IF(Table2[[#This Row],[Age]]&lt;=24, "Young Adults", IF(Table2[[#This Row],[Age]]&lt;=34, "Early Career", IF(Table2[[#This Row],[Age]]&lt;=44, "Mid Career", IF(Table2[[#This Row],[Age]]&lt;=54, "Mature Adults", "Pre-retirment"))))</f>
        <v>Mature Adults</v>
      </c>
      <c r="L500" t="s">
        <v>13</v>
      </c>
      <c r="M500">
        <v>3</v>
      </c>
      <c r="N500" t="str">
        <f t="shared" si="7"/>
        <v>Moderate User</v>
      </c>
    </row>
    <row r="501" spans="1:14" x14ac:dyDescent="0.25">
      <c r="A501">
        <v>500</v>
      </c>
      <c r="B501" t="s">
        <v>17</v>
      </c>
      <c r="C501" t="s">
        <v>18</v>
      </c>
      <c r="D501">
        <v>143</v>
      </c>
      <c r="E501">
        <v>3.6</v>
      </c>
      <c r="F501">
        <v>988</v>
      </c>
      <c r="G501">
        <v>26</v>
      </c>
      <c r="H501">
        <v>504</v>
      </c>
      <c r="I501">
        <v>45</v>
      </c>
      <c r="J501" t="str">
        <f>IF(Table2[[#This Row],[Age]]&lt;=24, "18 - 24", IF(Table2[[#This Row],[Age]]&lt;=34, "25 - 34", IF(Table2[[#This Row],[Age]]&lt;=44, "35 - 44", IF(Table2[[#This Row],[Age]]&lt;=54, "45 - 54", "55 - 59"))))</f>
        <v>45 - 54</v>
      </c>
      <c r="K501" t="str">
        <f>IF(Table2[[#This Row],[Age]]&lt;=24, "Young Adults", IF(Table2[[#This Row],[Age]]&lt;=34, "Early Career", IF(Table2[[#This Row],[Age]]&lt;=44, "Mid Career", IF(Table2[[#This Row],[Age]]&lt;=54, "Mature Adults", "Pre-retirment"))))</f>
        <v>Mature Adults</v>
      </c>
      <c r="L501" t="s">
        <v>15</v>
      </c>
      <c r="M501">
        <v>2</v>
      </c>
      <c r="N501" t="str">
        <f t="shared" si="7"/>
        <v>Light User</v>
      </c>
    </row>
    <row r="502" spans="1:14" x14ac:dyDescent="0.25">
      <c r="A502">
        <v>501</v>
      </c>
      <c r="B502" t="s">
        <v>11</v>
      </c>
      <c r="C502" t="s">
        <v>12</v>
      </c>
      <c r="D502">
        <v>66</v>
      </c>
      <c r="E502">
        <v>1.3</v>
      </c>
      <c r="F502">
        <v>369</v>
      </c>
      <c r="G502">
        <v>14</v>
      </c>
      <c r="H502">
        <v>195</v>
      </c>
      <c r="I502">
        <v>32</v>
      </c>
      <c r="J502" t="str">
        <f>IF(Table2[[#This Row],[Age]]&lt;=24, "18 - 24", IF(Table2[[#This Row],[Age]]&lt;=34, "25 - 34", IF(Table2[[#This Row],[Age]]&lt;=44, "35 - 44", IF(Table2[[#This Row],[Age]]&lt;=54, "45 - 54", "55 - 59"))))</f>
        <v>25 - 34</v>
      </c>
      <c r="K502" t="str">
        <f>IF(Table2[[#This Row],[Age]]&lt;=24, "Young Adults", IF(Table2[[#This Row],[Age]]&lt;=34, "Early Career", IF(Table2[[#This Row],[Age]]&lt;=44, "Mid Career", IF(Table2[[#This Row],[Age]]&lt;=54, "Mature Adults", "Pre-retirment"))))</f>
        <v>Early Career</v>
      </c>
      <c r="L502" t="s">
        <v>13</v>
      </c>
      <c r="M502">
        <v>1</v>
      </c>
      <c r="N502" t="str">
        <f t="shared" si="7"/>
        <v>Light User</v>
      </c>
    </row>
    <row r="503" spans="1:14" x14ac:dyDescent="0.25">
      <c r="A503">
        <v>502</v>
      </c>
      <c r="B503" t="s">
        <v>16</v>
      </c>
      <c r="C503" t="s">
        <v>12</v>
      </c>
      <c r="D503">
        <v>420</v>
      </c>
      <c r="E503">
        <v>7.7</v>
      </c>
      <c r="F503">
        <v>2017</v>
      </c>
      <c r="G503">
        <v>74</v>
      </c>
      <c r="H503">
        <v>1187</v>
      </c>
      <c r="I503">
        <v>24</v>
      </c>
      <c r="J503" t="str">
        <f>IF(Table2[[#This Row],[Age]]&lt;=24, "18 - 24", IF(Table2[[#This Row],[Age]]&lt;=34, "25 - 34", IF(Table2[[#This Row],[Age]]&lt;=44, "35 - 44", IF(Table2[[#This Row],[Age]]&lt;=54, "45 - 54", "55 - 59"))))</f>
        <v>18 - 24</v>
      </c>
      <c r="K503" t="str">
        <f>IF(Table2[[#This Row],[Age]]&lt;=24, "Young Adults", IF(Table2[[#This Row],[Age]]&lt;=34, "Early Career", IF(Table2[[#This Row],[Age]]&lt;=44, "Mid Career", IF(Table2[[#This Row],[Age]]&lt;=54, "Mature Adults", "Pre-retirment"))))</f>
        <v>Young Adults</v>
      </c>
      <c r="L503" t="s">
        <v>15</v>
      </c>
      <c r="M503">
        <v>4</v>
      </c>
      <c r="N503" t="str">
        <f t="shared" si="7"/>
        <v>Heavy User</v>
      </c>
    </row>
    <row r="504" spans="1:14" x14ac:dyDescent="0.25">
      <c r="A504">
        <v>503</v>
      </c>
      <c r="B504" t="s">
        <v>16</v>
      </c>
      <c r="C504" t="s">
        <v>12</v>
      </c>
      <c r="D504">
        <v>582</v>
      </c>
      <c r="E504">
        <v>8.4</v>
      </c>
      <c r="F504">
        <v>2664</v>
      </c>
      <c r="G504">
        <v>91</v>
      </c>
      <c r="H504">
        <v>2493</v>
      </c>
      <c r="I504">
        <v>55</v>
      </c>
      <c r="J504" t="str">
        <f>IF(Table2[[#This Row],[Age]]&lt;=24, "18 - 24", IF(Table2[[#This Row],[Age]]&lt;=34, "25 - 34", IF(Table2[[#This Row],[Age]]&lt;=44, "35 - 44", IF(Table2[[#This Row],[Age]]&lt;=54, "45 - 54", "55 - 59"))))</f>
        <v>55 - 59</v>
      </c>
      <c r="K504" t="str">
        <f>IF(Table2[[#This Row],[Age]]&lt;=24, "Young Adults", IF(Table2[[#This Row],[Age]]&lt;=34, "Early Career", IF(Table2[[#This Row],[Age]]&lt;=44, "Mid Career", IF(Table2[[#This Row],[Age]]&lt;=54, "Mature Adults", "Pre-retirment"))))</f>
        <v>Pre-retirment</v>
      </c>
      <c r="L504" t="s">
        <v>15</v>
      </c>
      <c r="M504">
        <v>5</v>
      </c>
      <c r="N504" t="str">
        <f t="shared" si="7"/>
        <v>Heavy User</v>
      </c>
    </row>
    <row r="505" spans="1:14" x14ac:dyDescent="0.25">
      <c r="A505">
        <v>504</v>
      </c>
      <c r="B505" t="s">
        <v>11</v>
      </c>
      <c r="C505" t="s">
        <v>12</v>
      </c>
      <c r="D505">
        <v>200</v>
      </c>
      <c r="E505">
        <v>5.8</v>
      </c>
      <c r="F505">
        <v>1291</v>
      </c>
      <c r="G505">
        <v>50</v>
      </c>
      <c r="H505">
        <v>965</v>
      </c>
      <c r="I505">
        <v>52</v>
      </c>
      <c r="J505" t="str">
        <f>IF(Table2[[#This Row],[Age]]&lt;=24, "18 - 24", IF(Table2[[#This Row],[Age]]&lt;=34, "25 - 34", IF(Table2[[#This Row],[Age]]&lt;=44, "35 - 44", IF(Table2[[#This Row],[Age]]&lt;=54, "45 - 54", "55 - 59"))))</f>
        <v>45 - 54</v>
      </c>
      <c r="K505" t="str">
        <f>IF(Table2[[#This Row],[Age]]&lt;=24, "Young Adults", IF(Table2[[#This Row],[Age]]&lt;=34, "Early Career", IF(Table2[[#This Row],[Age]]&lt;=44, "Mid Career", IF(Table2[[#This Row],[Age]]&lt;=54, "Mature Adults", "Pre-retirment"))))</f>
        <v>Mature Adults</v>
      </c>
      <c r="L505" t="s">
        <v>13</v>
      </c>
      <c r="M505">
        <v>3</v>
      </c>
      <c r="N505" t="str">
        <f t="shared" si="7"/>
        <v>Moderate User</v>
      </c>
    </row>
    <row r="506" spans="1:14" x14ac:dyDescent="0.25">
      <c r="A506">
        <v>505</v>
      </c>
      <c r="B506" t="s">
        <v>11</v>
      </c>
      <c r="C506" t="s">
        <v>12</v>
      </c>
      <c r="D506">
        <v>493</v>
      </c>
      <c r="E506">
        <v>8.5</v>
      </c>
      <c r="F506">
        <v>2859</v>
      </c>
      <c r="G506">
        <v>99</v>
      </c>
      <c r="H506">
        <v>2450</v>
      </c>
      <c r="I506">
        <v>47</v>
      </c>
      <c r="J506" t="str">
        <f>IF(Table2[[#This Row],[Age]]&lt;=24, "18 - 24", IF(Table2[[#This Row],[Age]]&lt;=34, "25 - 34", IF(Table2[[#This Row],[Age]]&lt;=44, "35 - 44", IF(Table2[[#This Row],[Age]]&lt;=54, "45 - 54", "55 - 59"))))</f>
        <v>45 - 54</v>
      </c>
      <c r="K506" t="str">
        <f>IF(Table2[[#This Row],[Age]]&lt;=24, "Young Adults", IF(Table2[[#This Row],[Age]]&lt;=34, "Early Career", IF(Table2[[#This Row],[Age]]&lt;=44, "Mid Career", IF(Table2[[#This Row],[Age]]&lt;=54, "Mature Adults", "Pre-retirment"))))</f>
        <v>Mature Adults</v>
      </c>
      <c r="L506" t="s">
        <v>13</v>
      </c>
      <c r="M506">
        <v>5</v>
      </c>
      <c r="N506" t="str">
        <f t="shared" si="7"/>
        <v>Heavy User</v>
      </c>
    </row>
    <row r="507" spans="1:14" x14ac:dyDescent="0.25">
      <c r="A507">
        <v>506</v>
      </c>
      <c r="B507" t="s">
        <v>19</v>
      </c>
      <c r="C507" t="s">
        <v>12</v>
      </c>
      <c r="D507">
        <v>348</v>
      </c>
      <c r="E507">
        <v>6.6</v>
      </c>
      <c r="F507">
        <v>2398</v>
      </c>
      <c r="G507">
        <v>66</v>
      </c>
      <c r="H507">
        <v>1415</v>
      </c>
      <c r="I507">
        <v>49</v>
      </c>
      <c r="J507" t="str">
        <f>IF(Table2[[#This Row],[Age]]&lt;=24, "18 - 24", IF(Table2[[#This Row],[Age]]&lt;=34, "25 - 34", IF(Table2[[#This Row],[Age]]&lt;=44, "35 - 44", IF(Table2[[#This Row],[Age]]&lt;=54, "45 - 54", "55 - 59"))))</f>
        <v>45 - 54</v>
      </c>
      <c r="K507" t="str">
        <f>IF(Table2[[#This Row],[Age]]&lt;=24, "Young Adults", IF(Table2[[#This Row],[Age]]&lt;=34, "Early Career", IF(Table2[[#This Row],[Age]]&lt;=44, "Mid Career", IF(Table2[[#This Row],[Age]]&lt;=54, "Mature Adults", "Pre-retirment"))))</f>
        <v>Mature Adults</v>
      </c>
      <c r="L507" t="s">
        <v>15</v>
      </c>
      <c r="M507">
        <v>4</v>
      </c>
      <c r="N507" t="str">
        <f t="shared" si="7"/>
        <v>Heavy User</v>
      </c>
    </row>
    <row r="508" spans="1:14" x14ac:dyDescent="0.25">
      <c r="A508">
        <v>507</v>
      </c>
      <c r="B508" t="s">
        <v>16</v>
      </c>
      <c r="C508" t="s">
        <v>12</v>
      </c>
      <c r="D508">
        <v>238</v>
      </c>
      <c r="E508">
        <v>5.0999999999999996</v>
      </c>
      <c r="F508">
        <v>1408</v>
      </c>
      <c r="G508">
        <v>45</v>
      </c>
      <c r="H508">
        <v>941</v>
      </c>
      <c r="I508">
        <v>27</v>
      </c>
      <c r="J508" t="str">
        <f>IF(Table2[[#This Row],[Age]]&lt;=24, "18 - 24", IF(Table2[[#This Row],[Age]]&lt;=34, "25 - 34", IF(Table2[[#This Row],[Age]]&lt;=44, "35 - 44", IF(Table2[[#This Row],[Age]]&lt;=54, "45 - 54", "55 - 59"))))</f>
        <v>25 - 34</v>
      </c>
      <c r="K508" t="str">
        <f>IF(Table2[[#This Row],[Age]]&lt;=24, "Young Adults", IF(Table2[[#This Row],[Age]]&lt;=34, "Early Career", IF(Table2[[#This Row],[Age]]&lt;=44, "Mid Career", IF(Table2[[#This Row],[Age]]&lt;=54, "Mature Adults", "Pre-retirment"))))</f>
        <v>Early Career</v>
      </c>
      <c r="L508" t="s">
        <v>13</v>
      </c>
      <c r="M508">
        <v>3</v>
      </c>
      <c r="N508" t="str">
        <f t="shared" si="7"/>
        <v>Moderate User</v>
      </c>
    </row>
    <row r="509" spans="1:14" x14ac:dyDescent="0.25">
      <c r="A509">
        <v>508</v>
      </c>
      <c r="B509" t="s">
        <v>16</v>
      </c>
      <c r="C509" t="s">
        <v>12</v>
      </c>
      <c r="D509">
        <v>33</v>
      </c>
      <c r="E509">
        <v>2</v>
      </c>
      <c r="F509">
        <v>318</v>
      </c>
      <c r="G509">
        <v>11</v>
      </c>
      <c r="H509">
        <v>173</v>
      </c>
      <c r="I509">
        <v>42</v>
      </c>
      <c r="J509" t="str">
        <f>IF(Table2[[#This Row],[Age]]&lt;=24, "18 - 24", IF(Table2[[#This Row],[Age]]&lt;=34, "25 - 34", IF(Table2[[#This Row],[Age]]&lt;=44, "35 - 44", IF(Table2[[#This Row],[Age]]&lt;=54, "45 - 54", "55 - 59"))))</f>
        <v>35 - 44</v>
      </c>
      <c r="K509" t="str">
        <f>IF(Table2[[#This Row],[Age]]&lt;=24, "Young Adults", IF(Table2[[#This Row],[Age]]&lt;=34, "Early Career", IF(Table2[[#This Row],[Age]]&lt;=44, "Mid Career", IF(Table2[[#This Row],[Age]]&lt;=54, "Mature Adults", "Pre-retirment"))))</f>
        <v>Mid Career</v>
      </c>
      <c r="L509" t="s">
        <v>15</v>
      </c>
      <c r="M509">
        <v>1</v>
      </c>
      <c r="N509" t="str">
        <f t="shared" si="7"/>
        <v>Light User</v>
      </c>
    </row>
    <row r="510" spans="1:14" x14ac:dyDescent="0.25">
      <c r="A510">
        <v>509</v>
      </c>
      <c r="B510" t="s">
        <v>11</v>
      </c>
      <c r="C510" t="s">
        <v>12</v>
      </c>
      <c r="D510">
        <v>267</v>
      </c>
      <c r="E510">
        <v>5.9</v>
      </c>
      <c r="F510">
        <v>1740</v>
      </c>
      <c r="G510">
        <v>45</v>
      </c>
      <c r="H510">
        <v>791</v>
      </c>
      <c r="I510">
        <v>22</v>
      </c>
      <c r="J510" t="str">
        <f>IF(Table2[[#This Row],[Age]]&lt;=24, "18 - 24", IF(Table2[[#This Row],[Age]]&lt;=34, "25 - 34", IF(Table2[[#This Row],[Age]]&lt;=44, "35 - 44", IF(Table2[[#This Row],[Age]]&lt;=54, "45 - 54", "55 - 59"))))</f>
        <v>18 - 24</v>
      </c>
      <c r="K510" t="str">
        <f>IF(Table2[[#This Row],[Age]]&lt;=24, "Young Adults", IF(Table2[[#This Row],[Age]]&lt;=34, "Early Career", IF(Table2[[#This Row],[Age]]&lt;=44, "Mid Career", IF(Table2[[#This Row],[Age]]&lt;=54, "Mature Adults", "Pre-retirment"))))</f>
        <v>Young Adults</v>
      </c>
      <c r="L510" t="s">
        <v>13</v>
      </c>
      <c r="M510">
        <v>3</v>
      </c>
      <c r="N510" t="str">
        <f t="shared" si="7"/>
        <v>Moderate User</v>
      </c>
    </row>
    <row r="511" spans="1:14" x14ac:dyDescent="0.25">
      <c r="A511">
        <v>510</v>
      </c>
      <c r="B511" t="s">
        <v>17</v>
      </c>
      <c r="C511" t="s">
        <v>18</v>
      </c>
      <c r="D511">
        <v>492</v>
      </c>
      <c r="E511">
        <v>10</v>
      </c>
      <c r="F511">
        <v>2513</v>
      </c>
      <c r="G511">
        <v>90</v>
      </c>
      <c r="H511">
        <v>1968</v>
      </c>
      <c r="I511">
        <v>31</v>
      </c>
      <c r="J511" t="str">
        <f>IF(Table2[[#This Row],[Age]]&lt;=24, "18 - 24", IF(Table2[[#This Row],[Age]]&lt;=34, "25 - 34", IF(Table2[[#This Row],[Age]]&lt;=44, "35 - 44", IF(Table2[[#This Row],[Age]]&lt;=54, "45 - 54", "55 - 59"))))</f>
        <v>25 - 34</v>
      </c>
      <c r="K511" t="str">
        <f>IF(Table2[[#This Row],[Age]]&lt;=24, "Young Adults", IF(Table2[[#This Row],[Age]]&lt;=34, "Early Career", IF(Table2[[#This Row],[Age]]&lt;=44, "Mid Career", IF(Table2[[#This Row],[Age]]&lt;=54, "Mature Adults", "Pre-retirment"))))</f>
        <v>Early Career</v>
      </c>
      <c r="L511" t="s">
        <v>13</v>
      </c>
      <c r="M511">
        <v>5</v>
      </c>
      <c r="N511" t="str">
        <f t="shared" si="7"/>
        <v>Heavy User</v>
      </c>
    </row>
    <row r="512" spans="1:14" x14ac:dyDescent="0.25">
      <c r="A512">
        <v>511</v>
      </c>
      <c r="B512" t="s">
        <v>11</v>
      </c>
      <c r="C512" t="s">
        <v>12</v>
      </c>
      <c r="D512">
        <v>241</v>
      </c>
      <c r="E512">
        <v>5.3</v>
      </c>
      <c r="F512">
        <v>1767</v>
      </c>
      <c r="G512">
        <v>58</v>
      </c>
      <c r="H512">
        <v>976</v>
      </c>
      <c r="I512">
        <v>38</v>
      </c>
      <c r="J512" t="str">
        <f>IF(Table2[[#This Row],[Age]]&lt;=24, "18 - 24", IF(Table2[[#This Row],[Age]]&lt;=34, "25 - 34", IF(Table2[[#This Row],[Age]]&lt;=44, "35 - 44", IF(Table2[[#This Row],[Age]]&lt;=54, "45 - 54", "55 - 59"))))</f>
        <v>35 - 44</v>
      </c>
      <c r="K512" t="str">
        <f>IF(Table2[[#This Row],[Age]]&lt;=24, "Young Adults", IF(Table2[[#This Row],[Age]]&lt;=34, "Early Career", IF(Table2[[#This Row],[Age]]&lt;=44, "Mid Career", IF(Table2[[#This Row],[Age]]&lt;=54, "Mature Adults", "Pre-retirment"))))</f>
        <v>Mid Career</v>
      </c>
      <c r="L512" t="s">
        <v>15</v>
      </c>
      <c r="M512">
        <v>3</v>
      </c>
      <c r="N512" t="str">
        <f t="shared" si="7"/>
        <v>Moderate User</v>
      </c>
    </row>
    <row r="513" spans="1:14" x14ac:dyDescent="0.25">
      <c r="A513">
        <v>512</v>
      </c>
      <c r="B513" t="s">
        <v>19</v>
      </c>
      <c r="C513" t="s">
        <v>12</v>
      </c>
      <c r="D513">
        <v>567</v>
      </c>
      <c r="E513">
        <v>10.8</v>
      </c>
      <c r="F513">
        <v>2911</v>
      </c>
      <c r="G513">
        <v>89</v>
      </c>
      <c r="H513">
        <v>1682</v>
      </c>
      <c r="I513">
        <v>39</v>
      </c>
      <c r="J513" t="str">
        <f>IF(Table2[[#This Row],[Age]]&lt;=24, "18 - 24", IF(Table2[[#This Row],[Age]]&lt;=34, "25 - 34", IF(Table2[[#This Row],[Age]]&lt;=44, "35 - 44", IF(Table2[[#This Row],[Age]]&lt;=54, "45 - 54", "55 - 59"))))</f>
        <v>35 - 44</v>
      </c>
      <c r="K513" t="str">
        <f>IF(Table2[[#This Row],[Age]]&lt;=24, "Young Adults", IF(Table2[[#This Row],[Age]]&lt;=34, "Early Career", IF(Table2[[#This Row],[Age]]&lt;=44, "Mid Career", IF(Table2[[#This Row],[Age]]&lt;=54, "Mature Adults", "Pre-retirment"))))</f>
        <v>Mid Career</v>
      </c>
      <c r="L513" t="s">
        <v>13</v>
      </c>
      <c r="M513">
        <v>5</v>
      </c>
      <c r="N513" t="str">
        <f t="shared" si="7"/>
        <v>Heavy User</v>
      </c>
    </row>
    <row r="514" spans="1:14" x14ac:dyDescent="0.25">
      <c r="A514">
        <v>513</v>
      </c>
      <c r="B514" t="s">
        <v>19</v>
      </c>
      <c r="C514" t="s">
        <v>12</v>
      </c>
      <c r="D514">
        <v>36</v>
      </c>
      <c r="E514">
        <v>1.6</v>
      </c>
      <c r="F514">
        <v>442</v>
      </c>
      <c r="G514">
        <v>17</v>
      </c>
      <c r="H514">
        <v>249</v>
      </c>
      <c r="I514">
        <v>34</v>
      </c>
      <c r="J514" t="str">
        <f>IF(Table2[[#This Row],[Age]]&lt;=24, "18 - 24", IF(Table2[[#This Row],[Age]]&lt;=34, "25 - 34", IF(Table2[[#This Row],[Age]]&lt;=44, "35 - 44", IF(Table2[[#This Row],[Age]]&lt;=54, "45 - 54", "55 - 59"))))</f>
        <v>25 - 34</v>
      </c>
      <c r="K514" t="str">
        <f>IF(Table2[[#This Row],[Age]]&lt;=24, "Young Adults", IF(Table2[[#This Row],[Age]]&lt;=34, "Early Career", IF(Table2[[#This Row],[Age]]&lt;=44, "Mid Career", IF(Table2[[#This Row],[Age]]&lt;=54, "Mature Adults", "Pre-retirment"))))</f>
        <v>Early Career</v>
      </c>
      <c r="L514" t="s">
        <v>13</v>
      </c>
      <c r="M514">
        <v>1</v>
      </c>
      <c r="N514" t="str">
        <f t="shared" si="7"/>
        <v>Light User</v>
      </c>
    </row>
    <row r="515" spans="1:14" x14ac:dyDescent="0.25">
      <c r="A515">
        <v>514</v>
      </c>
      <c r="B515" t="s">
        <v>14</v>
      </c>
      <c r="C515" t="s">
        <v>12</v>
      </c>
      <c r="D515">
        <v>110</v>
      </c>
      <c r="E515">
        <v>3.4</v>
      </c>
      <c r="F515">
        <v>975</v>
      </c>
      <c r="G515">
        <v>31</v>
      </c>
      <c r="H515">
        <v>507</v>
      </c>
      <c r="I515">
        <v>57</v>
      </c>
      <c r="J515" t="str">
        <f>IF(Table2[[#This Row],[Age]]&lt;=24, "18 - 24", IF(Table2[[#This Row],[Age]]&lt;=34, "25 - 34", IF(Table2[[#This Row],[Age]]&lt;=44, "35 - 44", IF(Table2[[#This Row],[Age]]&lt;=54, "45 - 54", "55 - 59"))))</f>
        <v>55 - 59</v>
      </c>
      <c r="K515" t="str">
        <f>IF(Table2[[#This Row],[Age]]&lt;=24, "Young Adults", IF(Table2[[#This Row],[Age]]&lt;=34, "Early Career", IF(Table2[[#This Row],[Age]]&lt;=44, "Mid Career", IF(Table2[[#This Row],[Age]]&lt;=54, "Mature Adults", "Pre-retirment"))))</f>
        <v>Pre-retirment</v>
      </c>
      <c r="L515" t="s">
        <v>15</v>
      </c>
      <c r="M515">
        <v>2</v>
      </c>
      <c r="N515" t="str">
        <f t="shared" ref="N515:N578" si="8">IF(M515&lt;=2, "Light User", IF(M515=3, "Moderate User", "Heavy User"))</f>
        <v>Light User</v>
      </c>
    </row>
    <row r="516" spans="1:14" x14ac:dyDescent="0.25">
      <c r="A516">
        <v>515</v>
      </c>
      <c r="B516" t="s">
        <v>19</v>
      </c>
      <c r="C516" t="s">
        <v>12</v>
      </c>
      <c r="D516">
        <v>466</v>
      </c>
      <c r="E516">
        <v>7.1</v>
      </c>
      <c r="F516">
        <v>1984</v>
      </c>
      <c r="G516">
        <v>73</v>
      </c>
      <c r="H516">
        <v>1461</v>
      </c>
      <c r="I516">
        <v>54</v>
      </c>
      <c r="J516" t="str">
        <f>IF(Table2[[#This Row],[Age]]&lt;=24, "18 - 24", IF(Table2[[#This Row],[Age]]&lt;=34, "25 - 34", IF(Table2[[#This Row],[Age]]&lt;=44, "35 - 44", IF(Table2[[#This Row],[Age]]&lt;=54, "45 - 54", "55 - 59"))))</f>
        <v>45 - 54</v>
      </c>
      <c r="K516" t="str">
        <f>IF(Table2[[#This Row],[Age]]&lt;=24, "Young Adults", IF(Table2[[#This Row],[Age]]&lt;=34, "Early Career", IF(Table2[[#This Row],[Age]]&lt;=44, "Mid Career", IF(Table2[[#This Row],[Age]]&lt;=54, "Mature Adults", "Pre-retirment"))))</f>
        <v>Mature Adults</v>
      </c>
      <c r="L516" t="s">
        <v>13</v>
      </c>
      <c r="M516">
        <v>4</v>
      </c>
      <c r="N516" t="str">
        <f t="shared" si="8"/>
        <v>Heavy User</v>
      </c>
    </row>
    <row r="517" spans="1:14" x14ac:dyDescent="0.25">
      <c r="A517">
        <v>516</v>
      </c>
      <c r="B517" t="s">
        <v>14</v>
      </c>
      <c r="C517" t="s">
        <v>12</v>
      </c>
      <c r="D517">
        <v>126</v>
      </c>
      <c r="E517">
        <v>2.2000000000000002</v>
      </c>
      <c r="F517">
        <v>1187</v>
      </c>
      <c r="G517">
        <v>28</v>
      </c>
      <c r="H517">
        <v>599</v>
      </c>
      <c r="I517">
        <v>25</v>
      </c>
      <c r="J517" t="str">
        <f>IF(Table2[[#This Row],[Age]]&lt;=24, "18 - 24", IF(Table2[[#This Row],[Age]]&lt;=34, "25 - 34", IF(Table2[[#This Row],[Age]]&lt;=44, "35 - 44", IF(Table2[[#This Row],[Age]]&lt;=54, "45 - 54", "55 - 59"))))</f>
        <v>25 - 34</v>
      </c>
      <c r="K517" t="str">
        <f>IF(Table2[[#This Row],[Age]]&lt;=24, "Young Adults", IF(Table2[[#This Row],[Age]]&lt;=34, "Early Career", IF(Table2[[#This Row],[Age]]&lt;=44, "Mid Career", IF(Table2[[#This Row],[Age]]&lt;=54, "Mature Adults", "Pre-retirment"))))</f>
        <v>Early Career</v>
      </c>
      <c r="L517" t="s">
        <v>13</v>
      </c>
      <c r="M517">
        <v>2</v>
      </c>
      <c r="N517" t="str">
        <f t="shared" si="8"/>
        <v>Light User</v>
      </c>
    </row>
    <row r="518" spans="1:14" x14ac:dyDescent="0.25">
      <c r="A518">
        <v>517</v>
      </c>
      <c r="B518" t="s">
        <v>16</v>
      </c>
      <c r="C518" t="s">
        <v>12</v>
      </c>
      <c r="D518">
        <v>120</v>
      </c>
      <c r="E518">
        <v>3.8</v>
      </c>
      <c r="F518">
        <v>940</v>
      </c>
      <c r="G518">
        <v>36</v>
      </c>
      <c r="H518">
        <v>535</v>
      </c>
      <c r="I518">
        <v>44</v>
      </c>
      <c r="J518" t="str">
        <f>IF(Table2[[#This Row],[Age]]&lt;=24, "18 - 24", IF(Table2[[#This Row],[Age]]&lt;=34, "25 - 34", IF(Table2[[#This Row],[Age]]&lt;=44, "35 - 44", IF(Table2[[#This Row],[Age]]&lt;=54, "45 - 54", "55 - 59"))))</f>
        <v>35 - 44</v>
      </c>
      <c r="K518" t="str">
        <f>IF(Table2[[#This Row],[Age]]&lt;=24, "Young Adults", IF(Table2[[#This Row],[Age]]&lt;=34, "Early Career", IF(Table2[[#This Row],[Age]]&lt;=44, "Mid Career", IF(Table2[[#This Row],[Age]]&lt;=54, "Mature Adults", "Pre-retirment"))))</f>
        <v>Mid Career</v>
      </c>
      <c r="L518" t="s">
        <v>13</v>
      </c>
      <c r="M518">
        <v>2</v>
      </c>
      <c r="N518" t="str">
        <f t="shared" si="8"/>
        <v>Light User</v>
      </c>
    </row>
    <row r="519" spans="1:14" x14ac:dyDescent="0.25">
      <c r="A519">
        <v>518</v>
      </c>
      <c r="B519" t="s">
        <v>17</v>
      </c>
      <c r="C519" t="s">
        <v>18</v>
      </c>
      <c r="D519">
        <v>64</v>
      </c>
      <c r="E519">
        <v>1.2</v>
      </c>
      <c r="F519">
        <v>592</v>
      </c>
      <c r="G519">
        <v>19</v>
      </c>
      <c r="H519">
        <v>218</v>
      </c>
      <c r="I519">
        <v>25</v>
      </c>
      <c r="J519" t="str">
        <f>IF(Table2[[#This Row],[Age]]&lt;=24, "18 - 24", IF(Table2[[#This Row],[Age]]&lt;=34, "25 - 34", IF(Table2[[#This Row],[Age]]&lt;=44, "35 - 44", IF(Table2[[#This Row],[Age]]&lt;=54, "45 - 54", "55 - 59"))))</f>
        <v>25 - 34</v>
      </c>
      <c r="K519" t="str">
        <f>IF(Table2[[#This Row],[Age]]&lt;=24, "Young Adults", IF(Table2[[#This Row],[Age]]&lt;=34, "Early Career", IF(Table2[[#This Row],[Age]]&lt;=44, "Mid Career", IF(Table2[[#This Row],[Age]]&lt;=54, "Mature Adults", "Pre-retirment"))))</f>
        <v>Early Career</v>
      </c>
      <c r="L519" t="s">
        <v>13</v>
      </c>
      <c r="M519">
        <v>1</v>
      </c>
      <c r="N519" t="str">
        <f t="shared" si="8"/>
        <v>Light User</v>
      </c>
    </row>
    <row r="520" spans="1:14" x14ac:dyDescent="0.25">
      <c r="A520">
        <v>519</v>
      </c>
      <c r="B520" t="s">
        <v>14</v>
      </c>
      <c r="C520" t="s">
        <v>12</v>
      </c>
      <c r="D520">
        <v>574</v>
      </c>
      <c r="E520">
        <v>8.5</v>
      </c>
      <c r="F520">
        <v>2780</v>
      </c>
      <c r="G520">
        <v>87</v>
      </c>
      <c r="H520">
        <v>1809</v>
      </c>
      <c r="I520">
        <v>34</v>
      </c>
      <c r="J520" t="str">
        <f>IF(Table2[[#This Row],[Age]]&lt;=24, "18 - 24", IF(Table2[[#This Row],[Age]]&lt;=34, "25 - 34", IF(Table2[[#This Row],[Age]]&lt;=44, "35 - 44", IF(Table2[[#This Row],[Age]]&lt;=54, "45 - 54", "55 - 59"))))</f>
        <v>25 - 34</v>
      </c>
      <c r="K520" t="str">
        <f>IF(Table2[[#This Row],[Age]]&lt;=24, "Young Adults", IF(Table2[[#This Row],[Age]]&lt;=34, "Early Career", IF(Table2[[#This Row],[Age]]&lt;=44, "Mid Career", IF(Table2[[#This Row],[Age]]&lt;=54, "Mature Adults", "Pre-retirment"))))</f>
        <v>Early Career</v>
      </c>
      <c r="L520" t="s">
        <v>15</v>
      </c>
      <c r="M520">
        <v>5</v>
      </c>
      <c r="N520" t="str">
        <f t="shared" si="8"/>
        <v>Heavy User</v>
      </c>
    </row>
    <row r="521" spans="1:14" x14ac:dyDescent="0.25">
      <c r="A521">
        <v>520</v>
      </c>
      <c r="B521" t="s">
        <v>14</v>
      </c>
      <c r="C521" t="s">
        <v>12</v>
      </c>
      <c r="D521">
        <v>119</v>
      </c>
      <c r="E521">
        <v>2.2000000000000002</v>
      </c>
      <c r="F521">
        <v>1123</v>
      </c>
      <c r="G521">
        <v>22</v>
      </c>
      <c r="H521">
        <v>371</v>
      </c>
      <c r="I521">
        <v>51</v>
      </c>
      <c r="J521" t="str">
        <f>IF(Table2[[#This Row],[Age]]&lt;=24, "18 - 24", IF(Table2[[#This Row],[Age]]&lt;=34, "25 - 34", IF(Table2[[#This Row],[Age]]&lt;=44, "35 - 44", IF(Table2[[#This Row],[Age]]&lt;=54, "45 - 54", "55 - 59"))))</f>
        <v>45 - 54</v>
      </c>
      <c r="K521" t="str">
        <f>IF(Table2[[#This Row],[Age]]&lt;=24, "Young Adults", IF(Table2[[#This Row],[Age]]&lt;=34, "Early Career", IF(Table2[[#This Row],[Age]]&lt;=44, "Mid Career", IF(Table2[[#This Row],[Age]]&lt;=54, "Mature Adults", "Pre-retirment"))))</f>
        <v>Mature Adults</v>
      </c>
      <c r="L521" t="s">
        <v>13</v>
      </c>
      <c r="M521">
        <v>2</v>
      </c>
      <c r="N521" t="str">
        <f t="shared" si="8"/>
        <v>Light User</v>
      </c>
    </row>
    <row r="522" spans="1:14" x14ac:dyDescent="0.25">
      <c r="A522">
        <v>521</v>
      </c>
      <c r="B522" t="s">
        <v>14</v>
      </c>
      <c r="C522" t="s">
        <v>12</v>
      </c>
      <c r="D522">
        <v>350</v>
      </c>
      <c r="E522">
        <v>6.5</v>
      </c>
      <c r="F522">
        <v>2364</v>
      </c>
      <c r="G522">
        <v>75</v>
      </c>
      <c r="H522">
        <v>1485</v>
      </c>
      <c r="I522">
        <v>20</v>
      </c>
      <c r="J522" t="str">
        <f>IF(Table2[[#This Row],[Age]]&lt;=24, "18 - 24", IF(Table2[[#This Row],[Age]]&lt;=34, "25 - 34", IF(Table2[[#This Row],[Age]]&lt;=44, "35 - 44", IF(Table2[[#This Row],[Age]]&lt;=54, "45 - 54", "55 - 59"))))</f>
        <v>18 - 24</v>
      </c>
      <c r="K522" t="str">
        <f>IF(Table2[[#This Row],[Age]]&lt;=24, "Young Adults", IF(Table2[[#This Row],[Age]]&lt;=34, "Early Career", IF(Table2[[#This Row],[Age]]&lt;=44, "Mid Career", IF(Table2[[#This Row],[Age]]&lt;=54, "Mature Adults", "Pre-retirment"))))</f>
        <v>Young Adults</v>
      </c>
      <c r="L522" t="s">
        <v>13</v>
      </c>
      <c r="M522">
        <v>4</v>
      </c>
      <c r="N522" t="str">
        <f t="shared" si="8"/>
        <v>Heavy User</v>
      </c>
    </row>
    <row r="523" spans="1:14" x14ac:dyDescent="0.25">
      <c r="A523">
        <v>522</v>
      </c>
      <c r="B523" t="s">
        <v>11</v>
      </c>
      <c r="C523" t="s">
        <v>12</v>
      </c>
      <c r="D523">
        <v>69</v>
      </c>
      <c r="E523">
        <v>1.1000000000000001</v>
      </c>
      <c r="F523">
        <v>535</v>
      </c>
      <c r="G523">
        <v>17</v>
      </c>
      <c r="H523">
        <v>250</v>
      </c>
      <c r="I523">
        <v>25</v>
      </c>
      <c r="J523" t="str">
        <f>IF(Table2[[#This Row],[Age]]&lt;=24, "18 - 24", IF(Table2[[#This Row],[Age]]&lt;=34, "25 - 34", IF(Table2[[#This Row],[Age]]&lt;=44, "35 - 44", IF(Table2[[#This Row],[Age]]&lt;=54, "45 - 54", "55 - 59"))))</f>
        <v>25 - 34</v>
      </c>
      <c r="K523" t="str">
        <f>IF(Table2[[#This Row],[Age]]&lt;=24, "Young Adults", IF(Table2[[#This Row],[Age]]&lt;=34, "Early Career", IF(Table2[[#This Row],[Age]]&lt;=44, "Mid Career", IF(Table2[[#This Row],[Age]]&lt;=54, "Mature Adults", "Pre-retirment"))))</f>
        <v>Early Career</v>
      </c>
      <c r="L523" t="s">
        <v>13</v>
      </c>
      <c r="M523">
        <v>1</v>
      </c>
      <c r="N523" t="str">
        <f t="shared" si="8"/>
        <v>Light User</v>
      </c>
    </row>
    <row r="524" spans="1:14" x14ac:dyDescent="0.25">
      <c r="A524">
        <v>523</v>
      </c>
      <c r="B524" t="s">
        <v>16</v>
      </c>
      <c r="C524" t="s">
        <v>12</v>
      </c>
      <c r="D524">
        <v>438</v>
      </c>
      <c r="E524">
        <v>6.5</v>
      </c>
      <c r="F524">
        <v>1849</v>
      </c>
      <c r="G524">
        <v>64</v>
      </c>
      <c r="H524">
        <v>1125</v>
      </c>
      <c r="I524">
        <v>49</v>
      </c>
      <c r="J524" t="str">
        <f>IF(Table2[[#This Row],[Age]]&lt;=24, "18 - 24", IF(Table2[[#This Row],[Age]]&lt;=34, "25 - 34", IF(Table2[[#This Row],[Age]]&lt;=44, "35 - 44", IF(Table2[[#This Row],[Age]]&lt;=54, "45 - 54", "55 - 59"))))</f>
        <v>45 - 54</v>
      </c>
      <c r="K524" t="str">
        <f>IF(Table2[[#This Row],[Age]]&lt;=24, "Young Adults", IF(Table2[[#This Row],[Age]]&lt;=34, "Early Career", IF(Table2[[#This Row],[Age]]&lt;=44, "Mid Career", IF(Table2[[#This Row],[Age]]&lt;=54, "Mature Adults", "Pre-retirment"))))</f>
        <v>Mature Adults</v>
      </c>
      <c r="L524" t="s">
        <v>15</v>
      </c>
      <c r="M524">
        <v>4</v>
      </c>
      <c r="N524" t="str">
        <f t="shared" si="8"/>
        <v>Heavy User</v>
      </c>
    </row>
    <row r="525" spans="1:14" x14ac:dyDescent="0.25">
      <c r="A525">
        <v>524</v>
      </c>
      <c r="B525" t="s">
        <v>19</v>
      </c>
      <c r="C525" t="s">
        <v>12</v>
      </c>
      <c r="D525">
        <v>506</v>
      </c>
      <c r="E525">
        <v>11.2</v>
      </c>
      <c r="F525">
        <v>2623</v>
      </c>
      <c r="G525">
        <v>98</v>
      </c>
      <c r="H525">
        <v>2460</v>
      </c>
      <c r="I525">
        <v>48</v>
      </c>
      <c r="J525" t="str">
        <f>IF(Table2[[#This Row],[Age]]&lt;=24, "18 - 24", IF(Table2[[#This Row],[Age]]&lt;=34, "25 - 34", IF(Table2[[#This Row],[Age]]&lt;=44, "35 - 44", IF(Table2[[#This Row],[Age]]&lt;=54, "45 - 54", "55 - 59"))))</f>
        <v>45 - 54</v>
      </c>
      <c r="K525" t="str">
        <f>IF(Table2[[#This Row],[Age]]&lt;=24, "Young Adults", IF(Table2[[#This Row],[Age]]&lt;=34, "Early Career", IF(Table2[[#This Row],[Age]]&lt;=44, "Mid Career", IF(Table2[[#This Row],[Age]]&lt;=54, "Mature Adults", "Pre-retirment"))))</f>
        <v>Mature Adults</v>
      </c>
      <c r="L525" t="s">
        <v>13</v>
      </c>
      <c r="M525">
        <v>5</v>
      </c>
      <c r="N525" t="str">
        <f t="shared" si="8"/>
        <v>Heavy User</v>
      </c>
    </row>
    <row r="526" spans="1:14" x14ac:dyDescent="0.25">
      <c r="A526">
        <v>525</v>
      </c>
      <c r="B526" t="s">
        <v>19</v>
      </c>
      <c r="C526" t="s">
        <v>12</v>
      </c>
      <c r="D526">
        <v>272</v>
      </c>
      <c r="E526">
        <v>5.2</v>
      </c>
      <c r="F526">
        <v>1390</v>
      </c>
      <c r="G526">
        <v>45</v>
      </c>
      <c r="H526">
        <v>792</v>
      </c>
      <c r="I526">
        <v>57</v>
      </c>
      <c r="J526" t="str">
        <f>IF(Table2[[#This Row],[Age]]&lt;=24, "18 - 24", IF(Table2[[#This Row],[Age]]&lt;=34, "25 - 34", IF(Table2[[#This Row],[Age]]&lt;=44, "35 - 44", IF(Table2[[#This Row],[Age]]&lt;=54, "45 - 54", "55 - 59"))))</f>
        <v>55 - 59</v>
      </c>
      <c r="K526" t="str">
        <f>IF(Table2[[#This Row],[Age]]&lt;=24, "Young Adults", IF(Table2[[#This Row],[Age]]&lt;=34, "Early Career", IF(Table2[[#This Row],[Age]]&lt;=44, "Mid Career", IF(Table2[[#This Row],[Age]]&lt;=54, "Mature Adults", "Pre-retirment"))))</f>
        <v>Pre-retirment</v>
      </c>
      <c r="L526" t="s">
        <v>15</v>
      </c>
      <c r="M526">
        <v>3</v>
      </c>
      <c r="N526" t="str">
        <f t="shared" si="8"/>
        <v>Moderate User</v>
      </c>
    </row>
    <row r="527" spans="1:14" x14ac:dyDescent="0.25">
      <c r="A527">
        <v>526</v>
      </c>
      <c r="B527" t="s">
        <v>19</v>
      </c>
      <c r="C527" t="s">
        <v>12</v>
      </c>
      <c r="D527">
        <v>224</v>
      </c>
      <c r="E527">
        <v>4.5</v>
      </c>
      <c r="F527">
        <v>1646</v>
      </c>
      <c r="G527">
        <v>57</v>
      </c>
      <c r="H527">
        <v>665</v>
      </c>
      <c r="I527">
        <v>59</v>
      </c>
      <c r="J527" t="str">
        <f>IF(Table2[[#This Row],[Age]]&lt;=24, "18 - 24", IF(Table2[[#This Row],[Age]]&lt;=34, "25 - 34", IF(Table2[[#This Row],[Age]]&lt;=44, "35 - 44", IF(Table2[[#This Row],[Age]]&lt;=54, "45 - 54", "55 - 59"))))</f>
        <v>55 - 59</v>
      </c>
      <c r="K527" t="str">
        <f>IF(Table2[[#This Row],[Age]]&lt;=24, "Young Adults", IF(Table2[[#This Row],[Age]]&lt;=34, "Early Career", IF(Table2[[#This Row],[Age]]&lt;=44, "Mid Career", IF(Table2[[#This Row],[Age]]&lt;=54, "Mature Adults", "Pre-retirment"))))</f>
        <v>Pre-retirment</v>
      </c>
      <c r="L527" t="s">
        <v>13</v>
      </c>
      <c r="M527">
        <v>3</v>
      </c>
      <c r="N527" t="str">
        <f t="shared" si="8"/>
        <v>Moderate User</v>
      </c>
    </row>
    <row r="528" spans="1:14" x14ac:dyDescent="0.25">
      <c r="A528">
        <v>527</v>
      </c>
      <c r="B528" t="s">
        <v>11</v>
      </c>
      <c r="C528" t="s">
        <v>12</v>
      </c>
      <c r="D528">
        <v>99</v>
      </c>
      <c r="E528">
        <v>2.4</v>
      </c>
      <c r="F528">
        <v>689</v>
      </c>
      <c r="G528">
        <v>36</v>
      </c>
      <c r="H528">
        <v>318</v>
      </c>
      <c r="I528">
        <v>29</v>
      </c>
      <c r="J528" t="str">
        <f>IF(Table2[[#This Row],[Age]]&lt;=24, "18 - 24", IF(Table2[[#This Row],[Age]]&lt;=34, "25 - 34", IF(Table2[[#This Row],[Age]]&lt;=44, "35 - 44", IF(Table2[[#This Row],[Age]]&lt;=54, "45 - 54", "55 - 59"))))</f>
        <v>25 - 34</v>
      </c>
      <c r="K528" t="str">
        <f>IF(Table2[[#This Row],[Age]]&lt;=24, "Young Adults", IF(Table2[[#This Row],[Age]]&lt;=34, "Early Career", IF(Table2[[#This Row],[Age]]&lt;=44, "Mid Career", IF(Table2[[#This Row],[Age]]&lt;=54, "Mature Adults", "Pre-retirment"))))</f>
        <v>Early Career</v>
      </c>
      <c r="L528" t="s">
        <v>15</v>
      </c>
      <c r="M528">
        <v>2</v>
      </c>
      <c r="N528" t="str">
        <f t="shared" si="8"/>
        <v>Light User</v>
      </c>
    </row>
    <row r="529" spans="1:14" x14ac:dyDescent="0.25">
      <c r="A529">
        <v>528</v>
      </c>
      <c r="B529" t="s">
        <v>17</v>
      </c>
      <c r="C529" t="s">
        <v>18</v>
      </c>
      <c r="D529">
        <v>44</v>
      </c>
      <c r="E529">
        <v>1.2</v>
      </c>
      <c r="F529">
        <v>466</v>
      </c>
      <c r="G529">
        <v>10</v>
      </c>
      <c r="H529">
        <v>131</v>
      </c>
      <c r="I529">
        <v>57</v>
      </c>
      <c r="J529" t="str">
        <f>IF(Table2[[#This Row],[Age]]&lt;=24, "18 - 24", IF(Table2[[#This Row],[Age]]&lt;=34, "25 - 34", IF(Table2[[#This Row],[Age]]&lt;=44, "35 - 44", IF(Table2[[#This Row],[Age]]&lt;=54, "45 - 54", "55 - 59"))))</f>
        <v>55 - 59</v>
      </c>
      <c r="K529" t="str">
        <f>IF(Table2[[#This Row],[Age]]&lt;=24, "Young Adults", IF(Table2[[#This Row],[Age]]&lt;=34, "Early Career", IF(Table2[[#This Row],[Age]]&lt;=44, "Mid Career", IF(Table2[[#This Row],[Age]]&lt;=54, "Mature Adults", "Pre-retirment"))))</f>
        <v>Pre-retirment</v>
      </c>
      <c r="L529" t="s">
        <v>15</v>
      </c>
      <c r="M529">
        <v>1</v>
      </c>
      <c r="N529" t="str">
        <f t="shared" si="8"/>
        <v>Light User</v>
      </c>
    </row>
    <row r="530" spans="1:14" x14ac:dyDescent="0.25">
      <c r="A530">
        <v>529</v>
      </c>
      <c r="B530" t="s">
        <v>11</v>
      </c>
      <c r="C530" t="s">
        <v>12</v>
      </c>
      <c r="D530">
        <v>175</v>
      </c>
      <c r="E530">
        <v>3</v>
      </c>
      <c r="F530">
        <v>801</v>
      </c>
      <c r="G530">
        <v>32</v>
      </c>
      <c r="H530">
        <v>338</v>
      </c>
      <c r="I530">
        <v>24</v>
      </c>
      <c r="J530" t="str">
        <f>IF(Table2[[#This Row],[Age]]&lt;=24, "18 - 24", IF(Table2[[#This Row],[Age]]&lt;=34, "25 - 34", IF(Table2[[#This Row],[Age]]&lt;=44, "35 - 44", IF(Table2[[#This Row],[Age]]&lt;=54, "45 - 54", "55 - 59"))))</f>
        <v>18 - 24</v>
      </c>
      <c r="K530" t="str">
        <f>IF(Table2[[#This Row],[Age]]&lt;=24, "Young Adults", IF(Table2[[#This Row],[Age]]&lt;=34, "Early Career", IF(Table2[[#This Row],[Age]]&lt;=44, "Mid Career", IF(Table2[[#This Row],[Age]]&lt;=54, "Mature Adults", "Pre-retirment"))))</f>
        <v>Young Adults</v>
      </c>
      <c r="L530" t="s">
        <v>13</v>
      </c>
      <c r="M530">
        <v>2</v>
      </c>
      <c r="N530" t="str">
        <f t="shared" si="8"/>
        <v>Light User</v>
      </c>
    </row>
    <row r="531" spans="1:14" x14ac:dyDescent="0.25">
      <c r="A531">
        <v>530</v>
      </c>
      <c r="B531" t="s">
        <v>11</v>
      </c>
      <c r="C531" t="s">
        <v>12</v>
      </c>
      <c r="D531">
        <v>228</v>
      </c>
      <c r="E531">
        <v>4.8</v>
      </c>
      <c r="F531">
        <v>1639</v>
      </c>
      <c r="G531">
        <v>47</v>
      </c>
      <c r="H531">
        <v>796</v>
      </c>
      <c r="I531">
        <v>42</v>
      </c>
      <c r="J531" t="str">
        <f>IF(Table2[[#This Row],[Age]]&lt;=24, "18 - 24", IF(Table2[[#This Row],[Age]]&lt;=34, "25 - 34", IF(Table2[[#This Row],[Age]]&lt;=44, "35 - 44", IF(Table2[[#This Row],[Age]]&lt;=54, "45 - 54", "55 - 59"))))</f>
        <v>35 - 44</v>
      </c>
      <c r="K531" t="str">
        <f>IF(Table2[[#This Row],[Age]]&lt;=24, "Young Adults", IF(Table2[[#This Row],[Age]]&lt;=34, "Early Career", IF(Table2[[#This Row],[Age]]&lt;=44, "Mid Career", IF(Table2[[#This Row],[Age]]&lt;=54, "Mature Adults", "Pre-retirment"))))</f>
        <v>Mid Career</v>
      </c>
      <c r="L531" t="s">
        <v>15</v>
      </c>
      <c r="M531">
        <v>3</v>
      </c>
      <c r="N531" t="str">
        <f t="shared" si="8"/>
        <v>Moderate User</v>
      </c>
    </row>
    <row r="532" spans="1:14" x14ac:dyDescent="0.25">
      <c r="A532">
        <v>531</v>
      </c>
      <c r="B532" t="s">
        <v>16</v>
      </c>
      <c r="C532" t="s">
        <v>12</v>
      </c>
      <c r="D532">
        <v>589</v>
      </c>
      <c r="E532">
        <v>11.8</v>
      </c>
      <c r="F532">
        <v>2629</v>
      </c>
      <c r="G532">
        <v>86</v>
      </c>
      <c r="H532">
        <v>2479</v>
      </c>
      <c r="I532">
        <v>43</v>
      </c>
      <c r="J532" t="str">
        <f>IF(Table2[[#This Row],[Age]]&lt;=24, "18 - 24", IF(Table2[[#This Row],[Age]]&lt;=34, "25 - 34", IF(Table2[[#This Row],[Age]]&lt;=44, "35 - 44", IF(Table2[[#This Row],[Age]]&lt;=54, "45 - 54", "55 - 59"))))</f>
        <v>35 - 44</v>
      </c>
      <c r="K532" t="str">
        <f>IF(Table2[[#This Row],[Age]]&lt;=24, "Young Adults", IF(Table2[[#This Row],[Age]]&lt;=34, "Early Career", IF(Table2[[#This Row],[Age]]&lt;=44, "Mid Career", IF(Table2[[#This Row],[Age]]&lt;=54, "Mature Adults", "Pre-retirment"))))</f>
        <v>Mid Career</v>
      </c>
      <c r="L532" t="s">
        <v>15</v>
      </c>
      <c r="M532">
        <v>5</v>
      </c>
      <c r="N532" t="str">
        <f t="shared" si="8"/>
        <v>Heavy User</v>
      </c>
    </row>
    <row r="533" spans="1:14" x14ac:dyDescent="0.25">
      <c r="A533">
        <v>532</v>
      </c>
      <c r="B533" t="s">
        <v>14</v>
      </c>
      <c r="C533" t="s">
        <v>12</v>
      </c>
      <c r="D533">
        <v>339</v>
      </c>
      <c r="E533">
        <v>7.9</v>
      </c>
      <c r="F533">
        <v>1987</v>
      </c>
      <c r="G533">
        <v>66</v>
      </c>
      <c r="H533">
        <v>1191</v>
      </c>
      <c r="I533">
        <v>47</v>
      </c>
      <c r="J533" t="str">
        <f>IF(Table2[[#This Row],[Age]]&lt;=24, "18 - 24", IF(Table2[[#This Row],[Age]]&lt;=34, "25 - 34", IF(Table2[[#This Row],[Age]]&lt;=44, "35 - 44", IF(Table2[[#This Row],[Age]]&lt;=54, "45 - 54", "55 - 59"))))</f>
        <v>45 - 54</v>
      </c>
      <c r="K533" t="str">
        <f>IF(Table2[[#This Row],[Age]]&lt;=24, "Young Adults", IF(Table2[[#This Row],[Age]]&lt;=34, "Early Career", IF(Table2[[#This Row],[Age]]&lt;=44, "Mid Career", IF(Table2[[#This Row],[Age]]&lt;=54, "Mature Adults", "Pre-retirment"))))</f>
        <v>Mature Adults</v>
      </c>
      <c r="L533" t="s">
        <v>13</v>
      </c>
      <c r="M533">
        <v>4</v>
      </c>
      <c r="N533" t="str">
        <f t="shared" si="8"/>
        <v>Heavy User</v>
      </c>
    </row>
    <row r="534" spans="1:14" x14ac:dyDescent="0.25">
      <c r="A534">
        <v>533</v>
      </c>
      <c r="B534" t="s">
        <v>17</v>
      </c>
      <c r="C534" t="s">
        <v>18</v>
      </c>
      <c r="D534">
        <v>431</v>
      </c>
      <c r="E534">
        <v>6.4</v>
      </c>
      <c r="F534">
        <v>2206</v>
      </c>
      <c r="G534">
        <v>66</v>
      </c>
      <c r="H534">
        <v>1200</v>
      </c>
      <c r="I534">
        <v>23</v>
      </c>
      <c r="J534" t="str">
        <f>IF(Table2[[#This Row],[Age]]&lt;=24, "18 - 24", IF(Table2[[#This Row],[Age]]&lt;=34, "25 - 34", IF(Table2[[#This Row],[Age]]&lt;=44, "35 - 44", IF(Table2[[#This Row],[Age]]&lt;=54, "45 - 54", "55 - 59"))))</f>
        <v>18 - 24</v>
      </c>
      <c r="K534" t="str">
        <f>IF(Table2[[#This Row],[Age]]&lt;=24, "Young Adults", IF(Table2[[#This Row],[Age]]&lt;=34, "Early Career", IF(Table2[[#This Row],[Age]]&lt;=44, "Mid Career", IF(Table2[[#This Row],[Age]]&lt;=54, "Mature Adults", "Pre-retirment"))))</f>
        <v>Young Adults</v>
      </c>
      <c r="L534" t="s">
        <v>15</v>
      </c>
      <c r="M534">
        <v>4</v>
      </c>
      <c r="N534" t="str">
        <f t="shared" si="8"/>
        <v>Heavy User</v>
      </c>
    </row>
    <row r="535" spans="1:14" x14ac:dyDescent="0.25">
      <c r="A535">
        <v>534</v>
      </c>
      <c r="B535" t="s">
        <v>16</v>
      </c>
      <c r="C535" t="s">
        <v>12</v>
      </c>
      <c r="D535">
        <v>190</v>
      </c>
      <c r="E535">
        <v>4.7</v>
      </c>
      <c r="F535">
        <v>1276</v>
      </c>
      <c r="G535">
        <v>57</v>
      </c>
      <c r="H535">
        <v>915</v>
      </c>
      <c r="I535">
        <v>22</v>
      </c>
      <c r="J535" t="str">
        <f>IF(Table2[[#This Row],[Age]]&lt;=24, "18 - 24", IF(Table2[[#This Row],[Age]]&lt;=34, "25 - 34", IF(Table2[[#This Row],[Age]]&lt;=44, "35 - 44", IF(Table2[[#This Row],[Age]]&lt;=54, "45 - 54", "55 - 59"))))</f>
        <v>18 - 24</v>
      </c>
      <c r="K535" t="str">
        <f>IF(Table2[[#This Row],[Age]]&lt;=24, "Young Adults", IF(Table2[[#This Row],[Age]]&lt;=34, "Early Career", IF(Table2[[#This Row],[Age]]&lt;=44, "Mid Career", IF(Table2[[#This Row],[Age]]&lt;=54, "Mature Adults", "Pre-retirment"))))</f>
        <v>Young Adults</v>
      </c>
      <c r="L535" t="s">
        <v>15</v>
      </c>
      <c r="M535">
        <v>3</v>
      </c>
      <c r="N535" t="str">
        <f t="shared" si="8"/>
        <v>Moderate User</v>
      </c>
    </row>
    <row r="536" spans="1:14" x14ac:dyDescent="0.25">
      <c r="A536">
        <v>535</v>
      </c>
      <c r="B536" t="s">
        <v>14</v>
      </c>
      <c r="C536" t="s">
        <v>12</v>
      </c>
      <c r="D536">
        <v>389</v>
      </c>
      <c r="E536">
        <v>6.1</v>
      </c>
      <c r="F536">
        <v>2087</v>
      </c>
      <c r="G536">
        <v>67</v>
      </c>
      <c r="H536">
        <v>1383</v>
      </c>
      <c r="I536">
        <v>30</v>
      </c>
      <c r="J536" t="str">
        <f>IF(Table2[[#This Row],[Age]]&lt;=24, "18 - 24", IF(Table2[[#This Row],[Age]]&lt;=34, "25 - 34", IF(Table2[[#This Row],[Age]]&lt;=44, "35 - 44", IF(Table2[[#This Row],[Age]]&lt;=54, "45 - 54", "55 - 59"))))</f>
        <v>25 - 34</v>
      </c>
      <c r="K536" t="str">
        <f>IF(Table2[[#This Row],[Age]]&lt;=24, "Young Adults", IF(Table2[[#This Row],[Age]]&lt;=34, "Early Career", IF(Table2[[#This Row],[Age]]&lt;=44, "Mid Career", IF(Table2[[#This Row],[Age]]&lt;=54, "Mature Adults", "Pre-retirment"))))</f>
        <v>Early Career</v>
      </c>
      <c r="L536" t="s">
        <v>13</v>
      </c>
      <c r="M536">
        <v>4</v>
      </c>
      <c r="N536" t="str">
        <f t="shared" si="8"/>
        <v>Heavy User</v>
      </c>
    </row>
    <row r="537" spans="1:14" x14ac:dyDescent="0.25">
      <c r="A537">
        <v>536</v>
      </c>
      <c r="B537" t="s">
        <v>19</v>
      </c>
      <c r="C537" t="s">
        <v>12</v>
      </c>
      <c r="D537">
        <v>139</v>
      </c>
      <c r="E537">
        <v>3.3</v>
      </c>
      <c r="F537">
        <v>937</v>
      </c>
      <c r="G537">
        <v>24</v>
      </c>
      <c r="H537">
        <v>573</v>
      </c>
      <c r="I537">
        <v>25</v>
      </c>
      <c r="J537" t="str">
        <f>IF(Table2[[#This Row],[Age]]&lt;=24, "18 - 24", IF(Table2[[#This Row],[Age]]&lt;=34, "25 - 34", IF(Table2[[#This Row],[Age]]&lt;=44, "35 - 44", IF(Table2[[#This Row],[Age]]&lt;=54, "45 - 54", "55 - 59"))))</f>
        <v>25 - 34</v>
      </c>
      <c r="K537" t="str">
        <f>IF(Table2[[#This Row],[Age]]&lt;=24, "Young Adults", IF(Table2[[#This Row],[Age]]&lt;=34, "Early Career", IF(Table2[[#This Row],[Age]]&lt;=44, "Mid Career", IF(Table2[[#This Row],[Age]]&lt;=54, "Mature Adults", "Pre-retirment"))))</f>
        <v>Early Career</v>
      </c>
      <c r="L537" t="s">
        <v>15</v>
      </c>
      <c r="M537">
        <v>2</v>
      </c>
      <c r="N537" t="str">
        <f t="shared" si="8"/>
        <v>Light User</v>
      </c>
    </row>
    <row r="538" spans="1:14" x14ac:dyDescent="0.25">
      <c r="A538">
        <v>537</v>
      </c>
      <c r="B538" t="s">
        <v>19</v>
      </c>
      <c r="C538" t="s">
        <v>12</v>
      </c>
      <c r="D538">
        <v>289</v>
      </c>
      <c r="E538">
        <v>5.9</v>
      </c>
      <c r="F538">
        <v>1528</v>
      </c>
      <c r="G538">
        <v>48</v>
      </c>
      <c r="H538">
        <v>915</v>
      </c>
      <c r="I538">
        <v>30</v>
      </c>
      <c r="J538" t="str">
        <f>IF(Table2[[#This Row],[Age]]&lt;=24, "18 - 24", IF(Table2[[#This Row],[Age]]&lt;=34, "25 - 34", IF(Table2[[#This Row],[Age]]&lt;=44, "35 - 44", IF(Table2[[#This Row],[Age]]&lt;=54, "45 - 54", "55 - 59"))))</f>
        <v>25 - 34</v>
      </c>
      <c r="K538" t="str">
        <f>IF(Table2[[#This Row],[Age]]&lt;=24, "Young Adults", IF(Table2[[#This Row],[Age]]&lt;=34, "Early Career", IF(Table2[[#This Row],[Age]]&lt;=44, "Mid Career", IF(Table2[[#This Row],[Age]]&lt;=54, "Mature Adults", "Pre-retirment"))))</f>
        <v>Early Career</v>
      </c>
      <c r="L538" t="s">
        <v>13</v>
      </c>
      <c r="M538">
        <v>3</v>
      </c>
      <c r="N538" t="str">
        <f t="shared" si="8"/>
        <v>Moderate User</v>
      </c>
    </row>
    <row r="539" spans="1:14" x14ac:dyDescent="0.25">
      <c r="A539">
        <v>538</v>
      </c>
      <c r="B539" t="s">
        <v>19</v>
      </c>
      <c r="C539" t="s">
        <v>12</v>
      </c>
      <c r="D539">
        <v>593</v>
      </c>
      <c r="E539">
        <v>11.1</v>
      </c>
      <c r="F539">
        <v>2672</v>
      </c>
      <c r="G539">
        <v>82</v>
      </c>
      <c r="H539">
        <v>2258</v>
      </c>
      <c r="I539">
        <v>34</v>
      </c>
      <c r="J539" t="str">
        <f>IF(Table2[[#This Row],[Age]]&lt;=24, "18 - 24", IF(Table2[[#This Row],[Age]]&lt;=34, "25 - 34", IF(Table2[[#This Row],[Age]]&lt;=44, "35 - 44", IF(Table2[[#This Row],[Age]]&lt;=54, "45 - 54", "55 - 59"))))</f>
        <v>25 - 34</v>
      </c>
      <c r="K539" t="str">
        <f>IF(Table2[[#This Row],[Age]]&lt;=24, "Young Adults", IF(Table2[[#This Row],[Age]]&lt;=34, "Early Career", IF(Table2[[#This Row],[Age]]&lt;=44, "Mid Career", IF(Table2[[#This Row],[Age]]&lt;=54, "Mature Adults", "Pre-retirment"))))</f>
        <v>Early Career</v>
      </c>
      <c r="L539" t="s">
        <v>15</v>
      </c>
      <c r="M539">
        <v>5</v>
      </c>
      <c r="N539" t="str">
        <f t="shared" si="8"/>
        <v>Heavy User</v>
      </c>
    </row>
    <row r="540" spans="1:14" x14ac:dyDescent="0.25">
      <c r="A540">
        <v>539</v>
      </c>
      <c r="B540" t="s">
        <v>11</v>
      </c>
      <c r="C540" t="s">
        <v>12</v>
      </c>
      <c r="D540">
        <v>576</v>
      </c>
      <c r="E540">
        <v>9.5</v>
      </c>
      <c r="F540">
        <v>2638</v>
      </c>
      <c r="G540">
        <v>98</v>
      </c>
      <c r="H540">
        <v>2281</v>
      </c>
      <c r="I540">
        <v>38</v>
      </c>
      <c r="J540" t="str">
        <f>IF(Table2[[#This Row],[Age]]&lt;=24, "18 - 24", IF(Table2[[#This Row],[Age]]&lt;=34, "25 - 34", IF(Table2[[#This Row],[Age]]&lt;=44, "35 - 44", IF(Table2[[#This Row],[Age]]&lt;=54, "45 - 54", "55 - 59"))))</f>
        <v>35 - 44</v>
      </c>
      <c r="K540" t="str">
        <f>IF(Table2[[#This Row],[Age]]&lt;=24, "Young Adults", IF(Table2[[#This Row],[Age]]&lt;=34, "Early Career", IF(Table2[[#This Row],[Age]]&lt;=44, "Mid Career", IF(Table2[[#This Row],[Age]]&lt;=54, "Mature Adults", "Pre-retirment"))))</f>
        <v>Mid Career</v>
      </c>
      <c r="L540" t="s">
        <v>15</v>
      </c>
      <c r="M540">
        <v>5</v>
      </c>
      <c r="N540" t="str">
        <f t="shared" si="8"/>
        <v>Heavy User</v>
      </c>
    </row>
    <row r="541" spans="1:14" x14ac:dyDescent="0.25">
      <c r="A541">
        <v>540</v>
      </c>
      <c r="B541" t="s">
        <v>14</v>
      </c>
      <c r="C541" t="s">
        <v>12</v>
      </c>
      <c r="D541">
        <v>592</v>
      </c>
      <c r="E541">
        <v>9.4</v>
      </c>
      <c r="F541">
        <v>2867</v>
      </c>
      <c r="G541">
        <v>95</v>
      </c>
      <c r="H541">
        <v>1701</v>
      </c>
      <c r="I541">
        <v>27</v>
      </c>
      <c r="J541" t="str">
        <f>IF(Table2[[#This Row],[Age]]&lt;=24, "18 - 24", IF(Table2[[#This Row],[Age]]&lt;=34, "25 - 34", IF(Table2[[#This Row],[Age]]&lt;=44, "35 - 44", IF(Table2[[#This Row],[Age]]&lt;=54, "45 - 54", "55 - 59"))))</f>
        <v>25 - 34</v>
      </c>
      <c r="K541" t="str">
        <f>IF(Table2[[#This Row],[Age]]&lt;=24, "Young Adults", IF(Table2[[#This Row],[Age]]&lt;=34, "Early Career", IF(Table2[[#This Row],[Age]]&lt;=44, "Mid Career", IF(Table2[[#This Row],[Age]]&lt;=54, "Mature Adults", "Pre-retirment"))))</f>
        <v>Early Career</v>
      </c>
      <c r="L541" t="s">
        <v>15</v>
      </c>
      <c r="M541">
        <v>5</v>
      </c>
      <c r="N541" t="str">
        <f t="shared" si="8"/>
        <v>Heavy User</v>
      </c>
    </row>
    <row r="542" spans="1:14" x14ac:dyDescent="0.25">
      <c r="A542">
        <v>541</v>
      </c>
      <c r="B542" t="s">
        <v>17</v>
      </c>
      <c r="C542" t="s">
        <v>18</v>
      </c>
      <c r="D542">
        <v>567</v>
      </c>
      <c r="E542">
        <v>10.5</v>
      </c>
      <c r="F542">
        <v>2817</v>
      </c>
      <c r="G542">
        <v>89</v>
      </c>
      <c r="H542">
        <v>2194</v>
      </c>
      <c r="I542">
        <v>52</v>
      </c>
      <c r="J542" t="str">
        <f>IF(Table2[[#This Row],[Age]]&lt;=24, "18 - 24", IF(Table2[[#This Row],[Age]]&lt;=34, "25 - 34", IF(Table2[[#This Row],[Age]]&lt;=44, "35 - 44", IF(Table2[[#This Row],[Age]]&lt;=54, "45 - 54", "55 - 59"))))</f>
        <v>45 - 54</v>
      </c>
      <c r="K542" t="str">
        <f>IF(Table2[[#This Row],[Age]]&lt;=24, "Young Adults", IF(Table2[[#This Row],[Age]]&lt;=34, "Early Career", IF(Table2[[#This Row],[Age]]&lt;=44, "Mid Career", IF(Table2[[#This Row],[Age]]&lt;=54, "Mature Adults", "Pre-retirment"))))</f>
        <v>Mature Adults</v>
      </c>
      <c r="L542" t="s">
        <v>13</v>
      </c>
      <c r="M542">
        <v>5</v>
      </c>
      <c r="N542" t="str">
        <f t="shared" si="8"/>
        <v>Heavy User</v>
      </c>
    </row>
    <row r="543" spans="1:14" x14ac:dyDescent="0.25">
      <c r="A543">
        <v>542</v>
      </c>
      <c r="B543" t="s">
        <v>17</v>
      </c>
      <c r="C543" t="s">
        <v>18</v>
      </c>
      <c r="D543">
        <v>170</v>
      </c>
      <c r="E543">
        <v>2.5</v>
      </c>
      <c r="F543">
        <v>740</v>
      </c>
      <c r="G543">
        <v>21</v>
      </c>
      <c r="H543">
        <v>537</v>
      </c>
      <c r="I543">
        <v>25</v>
      </c>
      <c r="J543" t="str">
        <f>IF(Table2[[#This Row],[Age]]&lt;=24, "18 - 24", IF(Table2[[#This Row],[Age]]&lt;=34, "25 - 34", IF(Table2[[#This Row],[Age]]&lt;=44, "35 - 44", IF(Table2[[#This Row],[Age]]&lt;=54, "45 - 54", "55 - 59"))))</f>
        <v>25 - 34</v>
      </c>
      <c r="K543" t="str">
        <f>IF(Table2[[#This Row],[Age]]&lt;=24, "Young Adults", IF(Table2[[#This Row],[Age]]&lt;=34, "Early Career", IF(Table2[[#This Row],[Age]]&lt;=44, "Mid Career", IF(Table2[[#This Row],[Age]]&lt;=54, "Mature Adults", "Pre-retirment"))))</f>
        <v>Early Career</v>
      </c>
      <c r="L543" t="s">
        <v>15</v>
      </c>
      <c r="M543">
        <v>2</v>
      </c>
      <c r="N543" t="str">
        <f t="shared" si="8"/>
        <v>Light User</v>
      </c>
    </row>
    <row r="544" spans="1:14" x14ac:dyDescent="0.25">
      <c r="A544">
        <v>543</v>
      </c>
      <c r="B544" t="s">
        <v>11</v>
      </c>
      <c r="C544" t="s">
        <v>12</v>
      </c>
      <c r="D544">
        <v>242</v>
      </c>
      <c r="E544">
        <v>5.4</v>
      </c>
      <c r="F544">
        <v>1307</v>
      </c>
      <c r="G544">
        <v>48</v>
      </c>
      <c r="H544">
        <v>642</v>
      </c>
      <c r="I544">
        <v>28</v>
      </c>
      <c r="J544" t="str">
        <f>IF(Table2[[#This Row],[Age]]&lt;=24, "18 - 24", IF(Table2[[#This Row],[Age]]&lt;=34, "25 - 34", IF(Table2[[#This Row],[Age]]&lt;=44, "35 - 44", IF(Table2[[#This Row],[Age]]&lt;=54, "45 - 54", "55 - 59"))))</f>
        <v>25 - 34</v>
      </c>
      <c r="K544" t="str">
        <f>IF(Table2[[#This Row],[Age]]&lt;=24, "Young Adults", IF(Table2[[#This Row],[Age]]&lt;=34, "Early Career", IF(Table2[[#This Row],[Age]]&lt;=44, "Mid Career", IF(Table2[[#This Row],[Age]]&lt;=54, "Mature Adults", "Pre-retirment"))))</f>
        <v>Early Career</v>
      </c>
      <c r="L544" t="s">
        <v>13</v>
      </c>
      <c r="M544">
        <v>3</v>
      </c>
      <c r="N544" t="str">
        <f t="shared" si="8"/>
        <v>Moderate User</v>
      </c>
    </row>
    <row r="545" spans="1:14" x14ac:dyDescent="0.25">
      <c r="A545">
        <v>544</v>
      </c>
      <c r="B545" t="s">
        <v>19</v>
      </c>
      <c r="C545" t="s">
        <v>12</v>
      </c>
      <c r="D545">
        <v>275</v>
      </c>
      <c r="E545">
        <v>5.5</v>
      </c>
      <c r="F545">
        <v>1616</v>
      </c>
      <c r="G545">
        <v>48</v>
      </c>
      <c r="H545">
        <v>656</v>
      </c>
      <c r="I545">
        <v>55</v>
      </c>
      <c r="J545" t="str">
        <f>IF(Table2[[#This Row],[Age]]&lt;=24, "18 - 24", IF(Table2[[#This Row],[Age]]&lt;=34, "25 - 34", IF(Table2[[#This Row],[Age]]&lt;=44, "35 - 44", IF(Table2[[#This Row],[Age]]&lt;=54, "45 - 54", "55 - 59"))))</f>
        <v>55 - 59</v>
      </c>
      <c r="K545" t="str">
        <f>IF(Table2[[#This Row],[Age]]&lt;=24, "Young Adults", IF(Table2[[#This Row],[Age]]&lt;=34, "Early Career", IF(Table2[[#This Row],[Age]]&lt;=44, "Mid Career", IF(Table2[[#This Row],[Age]]&lt;=54, "Mature Adults", "Pre-retirment"))))</f>
        <v>Pre-retirment</v>
      </c>
      <c r="L545" t="s">
        <v>13</v>
      </c>
      <c r="M545">
        <v>3</v>
      </c>
      <c r="N545" t="str">
        <f t="shared" si="8"/>
        <v>Moderate User</v>
      </c>
    </row>
    <row r="546" spans="1:14" x14ac:dyDescent="0.25">
      <c r="A546">
        <v>545</v>
      </c>
      <c r="B546" t="s">
        <v>11</v>
      </c>
      <c r="C546" t="s">
        <v>12</v>
      </c>
      <c r="D546">
        <v>544</v>
      </c>
      <c r="E546">
        <v>9.6999999999999993</v>
      </c>
      <c r="F546">
        <v>2633</v>
      </c>
      <c r="G546">
        <v>97</v>
      </c>
      <c r="H546">
        <v>1727</v>
      </c>
      <c r="I546">
        <v>28</v>
      </c>
      <c r="J546" t="str">
        <f>IF(Table2[[#This Row],[Age]]&lt;=24, "18 - 24", IF(Table2[[#This Row],[Age]]&lt;=34, "25 - 34", IF(Table2[[#This Row],[Age]]&lt;=44, "35 - 44", IF(Table2[[#This Row],[Age]]&lt;=54, "45 - 54", "55 - 59"))))</f>
        <v>25 - 34</v>
      </c>
      <c r="K546" t="str">
        <f>IF(Table2[[#This Row],[Age]]&lt;=24, "Young Adults", IF(Table2[[#This Row],[Age]]&lt;=34, "Early Career", IF(Table2[[#This Row],[Age]]&lt;=44, "Mid Career", IF(Table2[[#This Row],[Age]]&lt;=54, "Mature Adults", "Pre-retirment"))))</f>
        <v>Early Career</v>
      </c>
      <c r="L546" t="s">
        <v>15</v>
      </c>
      <c r="M546">
        <v>5</v>
      </c>
      <c r="N546" t="str">
        <f t="shared" si="8"/>
        <v>Heavy User</v>
      </c>
    </row>
    <row r="547" spans="1:14" x14ac:dyDescent="0.25">
      <c r="A547">
        <v>546</v>
      </c>
      <c r="B547" t="s">
        <v>14</v>
      </c>
      <c r="C547" t="s">
        <v>12</v>
      </c>
      <c r="D547">
        <v>50</v>
      </c>
      <c r="E547">
        <v>2</v>
      </c>
      <c r="F547">
        <v>362</v>
      </c>
      <c r="G547">
        <v>17</v>
      </c>
      <c r="H547">
        <v>182</v>
      </c>
      <c r="I547">
        <v>34</v>
      </c>
      <c r="J547" t="str">
        <f>IF(Table2[[#This Row],[Age]]&lt;=24, "18 - 24", IF(Table2[[#This Row],[Age]]&lt;=34, "25 - 34", IF(Table2[[#This Row],[Age]]&lt;=44, "35 - 44", IF(Table2[[#This Row],[Age]]&lt;=54, "45 - 54", "55 - 59"))))</f>
        <v>25 - 34</v>
      </c>
      <c r="K547" t="str">
        <f>IF(Table2[[#This Row],[Age]]&lt;=24, "Young Adults", IF(Table2[[#This Row],[Age]]&lt;=34, "Early Career", IF(Table2[[#This Row],[Age]]&lt;=44, "Mid Career", IF(Table2[[#This Row],[Age]]&lt;=54, "Mature Adults", "Pre-retirment"))))</f>
        <v>Early Career</v>
      </c>
      <c r="L547" t="s">
        <v>15</v>
      </c>
      <c r="M547">
        <v>1</v>
      </c>
      <c r="N547" t="str">
        <f t="shared" si="8"/>
        <v>Light User</v>
      </c>
    </row>
    <row r="548" spans="1:14" x14ac:dyDescent="0.25">
      <c r="A548">
        <v>547</v>
      </c>
      <c r="B548" t="s">
        <v>14</v>
      </c>
      <c r="C548" t="s">
        <v>12</v>
      </c>
      <c r="D548">
        <v>236</v>
      </c>
      <c r="E548">
        <v>4.5999999999999996</v>
      </c>
      <c r="F548">
        <v>1750</v>
      </c>
      <c r="G548">
        <v>45</v>
      </c>
      <c r="H548">
        <v>971</v>
      </c>
      <c r="I548">
        <v>21</v>
      </c>
      <c r="J548" t="str">
        <f>IF(Table2[[#This Row],[Age]]&lt;=24, "18 - 24", IF(Table2[[#This Row],[Age]]&lt;=34, "25 - 34", IF(Table2[[#This Row],[Age]]&lt;=44, "35 - 44", IF(Table2[[#This Row],[Age]]&lt;=54, "45 - 54", "55 - 59"))))</f>
        <v>18 - 24</v>
      </c>
      <c r="K548" t="str">
        <f>IF(Table2[[#This Row],[Age]]&lt;=24, "Young Adults", IF(Table2[[#This Row],[Age]]&lt;=34, "Early Career", IF(Table2[[#This Row],[Age]]&lt;=44, "Mid Career", IF(Table2[[#This Row],[Age]]&lt;=54, "Mature Adults", "Pre-retirment"))))</f>
        <v>Young Adults</v>
      </c>
      <c r="L548" t="s">
        <v>15</v>
      </c>
      <c r="M548">
        <v>3</v>
      </c>
      <c r="N548" t="str">
        <f t="shared" si="8"/>
        <v>Moderate User</v>
      </c>
    </row>
    <row r="549" spans="1:14" x14ac:dyDescent="0.25">
      <c r="A549">
        <v>548</v>
      </c>
      <c r="B549" t="s">
        <v>17</v>
      </c>
      <c r="C549" t="s">
        <v>18</v>
      </c>
      <c r="D549">
        <v>139</v>
      </c>
      <c r="E549">
        <v>2.6</v>
      </c>
      <c r="F549">
        <v>658</v>
      </c>
      <c r="G549">
        <v>33</v>
      </c>
      <c r="H549">
        <v>358</v>
      </c>
      <c r="I549">
        <v>58</v>
      </c>
      <c r="J549" t="str">
        <f>IF(Table2[[#This Row],[Age]]&lt;=24, "18 - 24", IF(Table2[[#This Row],[Age]]&lt;=34, "25 - 34", IF(Table2[[#This Row],[Age]]&lt;=44, "35 - 44", IF(Table2[[#This Row],[Age]]&lt;=54, "45 - 54", "55 - 59"))))</f>
        <v>55 - 59</v>
      </c>
      <c r="K549" t="str">
        <f>IF(Table2[[#This Row],[Age]]&lt;=24, "Young Adults", IF(Table2[[#This Row],[Age]]&lt;=34, "Early Career", IF(Table2[[#This Row],[Age]]&lt;=44, "Mid Career", IF(Table2[[#This Row],[Age]]&lt;=54, "Mature Adults", "Pre-retirment"))))</f>
        <v>Pre-retirment</v>
      </c>
      <c r="L549" t="s">
        <v>15</v>
      </c>
      <c r="M549">
        <v>2</v>
      </c>
      <c r="N549" t="str">
        <f t="shared" si="8"/>
        <v>Light User</v>
      </c>
    </row>
    <row r="550" spans="1:14" x14ac:dyDescent="0.25">
      <c r="A550">
        <v>549</v>
      </c>
      <c r="B550" t="s">
        <v>11</v>
      </c>
      <c r="C550" t="s">
        <v>12</v>
      </c>
      <c r="D550">
        <v>383</v>
      </c>
      <c r="E550">
        <v>6.6</v>
      </c>
      <c r="F550">
        <v>2155</v>
      </c>
      <c r="G550">
        <v>74</v>
      </c>
      <c r="H550">
        <v>1360</v>
      </c>
      <c r="I550">
        <v>45</v>
      </c>
      <c r="J550" t="str">
        <f>IF(Table2[[#This Row],[Age]]&lt;=24, "18 - 24", IF(Table2[[#This Row],[Age]]&lt;=34, "25 - 34", IF(Table2[[#This Row],[Age]]&lt;=44, "35 - 44", IF(Table2[[#This Row],[Age]]&lt;=54, "45 - 54", "55 - 59"))))</f>
        <v>45 - 54</v>
      </c>
      <c r="K550" t="str">
        <f>IF(Table2[[#This Row],[Age]]&lt;=24, "Young Adults", IF(Table2[[#This Row],[Age]]&lt;=34, "Early Career", IF(Table2[[#This Row],[Age]]&lt;=44, "Mid Career", IF(Table2[[#This Row],[Age]]&lt;=54, "Mature Adults", "Pre-retirment"))))</f>
        <v>Mature Adults</v>
      </c>
      <c r="L550" t="s">
        <v>13</v>
      </c>
      <c r="M550">
        <v>4</v>
      </c>
      <c r="N550" t="str">
        <f t="shared" si="8"/>
        <v>Heavy User</v>
      </c>
    </row>
    <row r="551" spans="1:14" x14ac:dyDescent="0.25">
      <c r="A551">
        <v>550</v>
      </c>
      <c r="B551" t="s">
        <v>19</v>
      </c>
      <c r="C551" t="s">
        <v>12</v>
      </c>
      <c r="D551">
        <v>172</v>
      </c>
      <c r="E551">
        <v>4</v>
      </c>
      <c r="F551">
        <v>1047</v>
      </c>
      <c r="G551">
        <v>32</v>
      </c>
      <c r="H551">
        <v>508</v>
      </c>
      <c r="I551">
        <v>21</v>
      </c>
      <c r="J551" t="str">
        <f>IF(Table2[[#This Row],[Age]]&lt;=24, "18 - 24", IF(Table2[[#This Row],[Age]]&lt;=34, "25 - 34", IF(Table2[[#This Row],[Age]]&lt;=44, "35 - 44", IF(Table2[[#This Row],[Age]]&lt;=54, "45 - 54", "55 - 59"))))</f>
        <v>18 - 24</v>
      </c>
      <c r="K551" t="str">
        <f>IF(Table2[[#This Row],[Age]]&lt;=24, "Young Adults", IF(Table2[[#This Row],[Age]]&lt;=34, "Early Career", IF(Table2[[#This Row],[Age]]&lt;=44, "Mid Career", IF(Table2[[#This Row],[Age]]&lt;=54, "Mature Adults", "Pre-retirment"))))</f>
        <v>Young Adults</v>
      </c>
      <c r="L551" t="s">
        <v>15</v>
      </c>
      <c r="M551">
        <v>2</v>
      </c>
      <c r="N551" t="str">
        <f t="shared" si="8"/>
        <v>Light User</v>
      </c>
    </row>
    <row r="552" spans="1:14" x14ac:dyDescent="0.25">
      <c r="A552">
        <v>551</v>
      </c>
      <c r="B552" t="s">
        <v>16</v>
      </c>
      <c r="C552" t="s">
        <v>12</v>
      </c>
      <c r="D552">
        <v>455</v>
      </c>
      <c r="E552">
        <v>6.2</v>
      </c>
      <c r="F552">
        <v>1984</v>
      </c>
      <c r="G552">
        <v>72</v>
      </c>
      <c r="H552">
        <v>1287</v>
      </c>
      <c r="I552">
        <v>42</v>
      </c>
      <c r="J552" t="str">
        <f>IF(Table2[[#This Row],[Age]]&lt;=24, "18 - 24", IF(Table2[[#This Row],[Age]]&lt;=34, "25 - 34", IF(Table2[[#This Row],[Age]]&lt;=44, "35 - 44", IF(Table2[[#This Row],[Age]]&lt;=54, "45 - 54", "55 - 59"))))</f>
        <v>35 - 44</v>
      </c>
      <c r="K552" t="str">
        <f>IF(Table2[[#This Row],[Age]]&lt;=24, "Young Adults", IF(Table2[[#This Row],[Age]]&lt;=34, "Early Career", IF(Table2[[#This Row],[Age]]&lt;=44, "Mid Career", IF(Table2[[#This Row],[Age]]&lt;=54, "Mature Adults", "Pre-retirment"))))</f>
        <v>Mid Career</v>
      </c>
      <c r="L552" t="s">
        <v>13</v>
      </c>
      <c r="M552">
        <v>4</v>
      </c>
      <c r="N552" t="str">
        <f t="shared" si="8"/>
        <v>Heavy User</v>
      </c>
    </row>
    <row r="553" spans="1:14" x14ac:dyDescent="0.25">
      <c r="A553">
        <v>552</v>
      </c>
      <c r="B553" t="s">
        <v>19</v>
      </c>
      <c r="C553" t="s">
        <v>12</v>
      </c>
      <c r="D553">
        <v>157</v>
      </c>
      <c r="E553">
        <v>2.5</v>
      </c>
      <c r="F553">
        <v>1110</v>
      </c>
      <c r="G553">
        <v>30</v>
      </c>
      <c r="H553">
        <v>373</v>
      </c>
      <c r="I553">
        <v>37</v>
      </c>
      <c r="J553" t="str">
        <f>IF(Table2[[#This Row],[Age]]&lt;=24, "18 - 24", IF(Table2[[#This Row],[Age]]&lt;=34, "25 - 34", IF(Table2[[#This Row],[Age]]&lt;=44, "35 - 44", IF(Table2[[#This Row],[Age]]&lt;=54, "45 - 54", "55 - 59"))))</f>
        <v>35 - 44</v>
      </c>
      <c r="K553" t="str">
        <f>IF(Table2[[#This Row],[Age]]&lt;=24, "Young Adults", IF(Table2[[#This Row],[Age]]&lt;=34, "Early Career", IF(Table2[[#This Row],[Age]]&lt;=44, "Mid Career", IF(Table2[[#This Row],[Age]]&lt;=54, "Mature Adults", "Pre-retirment"))))</f>
        <v>Mid Career</v>
      </c>
      <c r="L553" t="s">
        <v>15</v>
      </c>
      <c r="M553">
        <v>2</v>
      </c>
      <c r="N553" t="str">
        <f t="shared" si="8"/>
        <v>Light User</v>
      </c>
    </row>
    <row r="554" spans="1:14" x14ac:dyDescent="0.25">
      <c r="A554">
        <v>553</v>
      </c>
      <c r="B554" t="s">
        <v>17</v>
      </c>
      <c r="C554" t="s">
        <v>18</v>
      </c>
      <c r="D554">
        <v>173</v>
      </c>
      <c r="E554">
        <v>3.8</v>
      </c>
      <c r="F554">
        <v>605</v>
      </c>
      <c r="G554">
        <v>23</v>
      </c>
      <c r="H554">
        <v>583</v>
      </c>
      <c r="I554">
        <v>32</v>
      </c>
      <c r="J554" t="str">
        <f>IF(Table2[[#This Row],[Age]]&lt;=24, "18 - 24", IF(Table2[[#This Row],[Age]]&lt;=34, "25 - 34", IF(Table2[[#This Row],[Age]]&lt;=44, "35 - 44", IF(Table2[[#This Row],[Age]]&lt;=54, "45 - 54", "55 - 59"))))</f>
        <v>25 - 34</v>
      </c>
      <c r="K554" t="str">
        <f>IF(Table2[[#This Row],[Age]]&lt;=24, "Young Adults", IF(Table2[[#This Row],[Age]]&lt;=34, "Early Career", IF(Table2[[#This Row],[Age]]&lt;=44, "Mid Career", IF(Table2[[#This Row],[Age]]&lt;=54, "Mature Adults", "Pre-retirment"))))</f>
        <v>Early Career</v>
      </c>
      <c r="L554" t="s">
        <v>13</v>
      </c>
      <c r="M554">
        <v>2</v>
      </c>
      <c r="N554" t="str">
        <f t="shared" si="8"/>
        <v>Light User</v>
      </c>
    </row>
    <row r="555" spans="1:14" x14ac:dyDescent="0.25">
      <c r="A555">
        <v>554</v>
      </c>
      <c r="B555" t="s">
        <v>19</v>
      </c>
      <c r="C555" t="s">
        <v>12</v>
      </c>
      <c r="D555">
        <v>405</v>
      </c>
      <c r="E555">
        <v>7.3</v>
      </c>
      <c r="F555">
        <v>2082</v>
      </c>
      <c r="G555">
        <v>75</v>
      </c>
      <c r="H555">
        <v>1162</v>
      </c>
      <c r="I555">
        <v>37</v>
      </c>
      <c r="J555" t="str">
        <f>IF(Table2[[#This Row],[Age]]&lt;=24, "18 - 24", IF(Table2[[#This Row],[Age]]&lt;=34, "25 - 34", IF(Table2[[#This Row],[Age]]&lt;=44, "35 - 44", IF(Table2[[#This Row],[Age]]&lt;=54, "45 - 54", "55 - 59"))))</f>
        <v>35 - 44</v>
      </c>
      <c r="K555" t="str">
        <f>IF(Table2[[#This Row],[Age]]&lt;=24, "Young Adults", IF(Table2[[#This Row],[Age]]&lt;=34, "Early Career", IF(Table2[[#This Row],[Age]]&lt;=44, "Mid Career", IF(Table2[[#This Row],[Age]]&lt;=54, "Mature Adults", "Pre-retirment"))))</f>
        <v>Mid Career</v>
      </c>
      <c r="L555" t="s">
        <v>15</v>
      </c>
      <c r="M555">
        <v>4</v>
      </c>
      <c r="N555" t="str">
        <f t="shared" si="8"/>
        <v>Heavy User</v>
      </c>
    </row>
    <row r="556" spans="1:14" x14ac:dyDescent="0.25">
      <c r="A556">
        <v>555</v>
      </c>
      <c r="B556" t="s">
        <v>17</v>
      </c>
      <c r="C556" t="s">
        <v>18</v>
      </c>
      <c r="D556">
        <v>387</v>
      </c>
      <c r="E556">
        <v>6.6</v>
      </c>
      <c r="F556">
        <v>2168</v>
      </c>
      <c r="G556">
        <v>61</v>
      </c>
      <c r="H556">
        <v>1246</v>
      </c>
      <c r="I556">
        <v>19</v>
      </c>
      <c r="J556" t="str">
        <f>IF(Table2[[#This Row],[Age]]&lt;=24, "18 - 24", IF(Table2[[#This Row],[Age]]&lt;=34, "25 - 34", IF(Table2[[#This Row],[Age]]&lt;=44, "35 - 44", IF(Table2[[#This Row],[Age]]&lt;=54, "45 - 54", "55 - 59"))))</f>
        <v>18 - 24</v>
      </c>
      <c r="K556" t="str">
        <f>IF(Table2[[#This Row],[Age]]&lt;=24, "Young Adults", IF(Table2[[#This Row],[Age]]&lt;=34, "Early Career", IF(Table2[[#This Row],[Age]]&lt;=44, "Mid Career", IF(Table2[[#This Row],[Age]]&lt;=54, "Mature Adults", "Pre-retirment"))))</f>
        <v>Young Adults</v>
      </c>
      <c r="L556" t="s">
        <v>15</v>
      </c>
      <c r="M556">
        <v>4</v>
      </c>
      <c r="N556" t="str">
        <f t="shared" si="8"/>
        <v>Heavy User</v>
      </c>
    </row>
    <row r="557" spans="1:14" x14ac:dyDescent="0.25">
      <c r="A557">
        <v>556</v>
      </c>
      <c r="B557" t="s">
        <v>16</v>
      </c>
      <c r="C557" t="s">
        <v>12</v>
      </c>
      <c r="D557">
        <v>201</v>
      </c>
      <c r="E557">
        <v>4.9000000000000004</v>
      </c>
      <c r="F557">
        <v>1633</v>
      </c>
      <c r="G557">
        <v>41</v>
      </c>
      <c r="H557">
        <v>972</v>
      </c>
      <c r="I557">
        <v>32</v>
      </c>
      <c r="J557" t="str">
        <f>IF(Table2[[#This Row],[Age]]&lt;=24, "18 - 24", IF(Table2[[#This Row],[Age]]&lt;=34, "25 - 34", IF(Table2[[#This Row],[Age]]&lt;=44, "35 - 44", IF(Table2[[#This Row],[Age]]&lt;=54, "45 - 54", "55 - 59"))))</f>
        <v>25 - 34</v>
      </c>
      <c r="K557" t="str">
        <f>IF(Table2[[#This Row],[Age]]&lt;=24, "Young Adults", IF(Table2[[#This Row],[Age]]&lt;=34, "Early Career", IF(Table2[[#This Row],[Age]]&lt;=44, "Mid Career", IF(Table2[[#This Row],[Age]]&lt;=54, "Mature Adults", "Pre-retirment"))))</f>
        <v>Early Career</v>
      </c>
      <c r="L557" t="s">
        <v>15</v>
      </c>
      <c r="M557">
        <v>3</v>
      </c>
      <c r="N557" t="str">
        <f t="shared" si="8"/>
        <v>Moderate User</v>
      </c>
    </row>
    <row r="558" spans="1:14" x14ac:dyDescent="0.25">
      <c r="A558">
        <v>557</v>
      </c>
      <c r="B558" t="s">
        <v>17</v>
      </c>
      <c r="C558" t="s">
        <v>18</v>
      </c>
      <c r="D558">
        <v>142</v>
      </c>
      <c r="E558">
        <v>3.5</v>
      </c>
      <c r="F558">
        <v>625</v>
      </c>
      <c r="G558">
        <v>25</v>
      </c>
      <c r="H558">
        <v>370</v>
      </c>
      <c r="I558">
        <v>40</v>
      </c>
      <c r="J558" t="str">
        <f>IF(Table2[[#This Row],[Age]]&lt;=24, "18 - 24", IF(Table2[[#This Row],[Age]]&lt;=34, "25 - 34", IF(Table2[[#This Row],[Age]]&lt;=44, "35 - 44", IF(Table2[[#This Row],[Age]]&lt;=54, "45 - 54", "55 - 59"))))</f>
        <v>35 - 44</v>
      </c>
      <c r="K558" t="str">
        <f>IF(Table2[[#This Row],[Age]]&lt;=24, "Young Adults", IF(Table2[[#This Row],[Age]]&lt;=34, "Early Career", IF(Table2[[#This Row],[Age]]&lt;=44, "Mid Career", IF(Table2[[#This Row],[Age]]&lt;=54, "Mature Adults", "Pre-retirment"))))</f>
        <v>Mid Career</v>
      </c>
      <c r="L558" t="s">
        <v>15</v>
      </c>
      <c r="M558">
        <v>2</v>
      </c>
      <c r="N558" t="str">
        <f t="shared" si="8"/>
        <v>Light User</v>
      </c>
    </row>
    <row r="559" spans="1:14" x14ac:dyDescent="0.25">
      <c r="A559">
        <v>558</v>
      </c>
      <c r="B559" t="s">
        <v>19</v>
      </c>
      <c r="C559" t="s">
        <v>12</v>
      </c>
      <c r="D559">
        <v>198</v>
      </c>
      <c r="E559">
        <v>4.2</v>
      </c>
      <c r="F559">
        <v>1392</v>
      </c>
      <c r="G559">
        <v>43</v>
      </c>
      <c r="H559">
        <v>640</v>
      </c>
      <c r="I559">
        <v>27</v>
      </c>
      <c r="J559" t="str">
        <f>IF(Table2[[#This Row],[Age]]&lt;=24, "18 - 24", IF(Table2[[#This Row],[Age]]&lt;=34, "25 - 34", IF(Table2[[#This Row],[Age]]&lt;=44, "35 - 44", IF(Table2[[#This Row],[Age]]&lt;=54, "45 - 54", "55 - 59"))))</f>
        <v>25 - 34</v>
      </c>
      <c r="K559" t="str">
        <f>IF(Table2[[#This Row],[Age]]&lt;=24, "Young Adults", IF(Table2[[#This Row],[Age]]&lt;=34, "Early Career", IF(Table2[[#This Row],[Age]]&lt;=44, "Mid Career", IF(Table2[[#This Row],[Age]]&lt;=54, "Mature Adults", "Pre-retirment"))))</f>
        <v>Early Career</v>
      </c>
      <c r="L559" t="s">
        <v>13</v>
      </c>
      <c r="M559">
        <v>3</v>
      </c>
      <c r="N559" t="str">
        <f t="shared" si="8"/>
        <v>Moderate User</v>
      </c>
    </row>
    <row r="560" spans="1:14" x14ac:dyDescent="0.25">
      <c r="A560">
        <v>559</v>
      </c>
      <c r="B560" t="s">
        <v>11</v>
      </c>
      <c r="C560" t="s">
        <v>12</v>
      </c>
      <c r="D560">
        <v>361</v>
      </c>
      <c r="E560">
        <v>7.6</v>
      </c>
      <c r="F560">
        <v>2037</v>
      </c>
      <c r="G560">
        <v>65</v>
      </c>
      <c r="H560">
        <v>1056</v>
      </c>
      <c r="I560">
        <v>55</v>
      </c>
      <c r="J560" t="str">
        <f>IF(Table2[[#This Row],[Age]]&lt;=24, "18 - 24", IF(Table2[[#This Row],[Age]]&lt;=34, "25 - 34", IF(Table2[[#This Row],[Age]]&lt;=44, "35 - 44", IF(Table2[[#This Row],[Age]]&lt;=54, "45 - 54", "55 - 59"))))</f>
        <v>55 - 59</v>
      </c>
      <c r="K560" t="str">
        <f>IF(Table2[[#This Row],[Age]]&lt;=24, "Young Adults", IF(Table2[[#This Row],[Age]]&lt;=34, "Early Career", IF(Table2[[#This Row],[Age]]&lt;=44, "Mid Career", IF(Table2[[#This Row],[Age]]&lt;=54, "Mature Adults", "Pre-retirment"))))</f>
        <v>Pre-retirment</v>
      </c>
      <c r="L560" t="s">
        <v>13</v>
      </c>
      <c r="M560">
        <v>4</v>
      </c>
      <c r="N560" t="str">
        <f t="shared" si="8"/>
        <v>Heavy User</v>
      </c>
    </row>
    <row r="561" spans="1:14" x14ac:dyDescent="0.25">
      <c r="A561">
        <v>560</v>
      </c>
      <c r="B561" t="s">
        <v>14</v>
      </c>
      <c r="C561" t="s">
        <v>12</v>
      </c>
      <c r="D561">
        <v>553</v>
      </c>
      <c r="E561">
        <v>11.6</v>
      </c>
      <c r="F561">
        <v>2914</v>
      </c>
      <c r="G561">
        <v>81</v>
      </c>
      <c r="H561">
        <v>1860</v>
      </c>
      <c r="I561">
        <v>47</v>
      </c>
      <c r="J561" t="str">
        <f>IF(Table2[[#This Row],[Age]]&lt;=24, "18 - 24", IF(Table2[[#This Row],[Age]]&lt;=34, "25 - 34", IF(Table2[[#This Row],[Age]]&lt;=44, "35 - 44", IF(Table2[[#This Row],[Age]]&lt;=54, "45 - 54", "55 - 59"))))</f>
        <v>45 - 54</v>
      </c>
      <c r="K561" t="str">
        <f>IF(Table2[[#This Row],[Age]]&lt;=24, "Young Adults", IF(Table2[[#This Row],[Age]]&lt;=34, "Early Career", IF(Table2[[#This Row],[Age]]&lt;=44, "Mid Career", IF(Table2[[#This Row],[Age]]&lt;=54, "Mature Adults", "Pre-retirment"))))</f>
        <v>Mature Adults</v>
      </c>
      <c r="L561" t="s">
        <v>13</v>
      </c>
      <c r="M561">
        <v>5</v>
      </c>
      <c r="N561" t="str">
        <f t="shared" si="8"/>
        <v>Heavy User</v>
      </c>
    </row>
    <row r="562" spans="1:14" x14ac:dyDescent="0.25">
      <c r="A562">
        <v>561</v>
      </c>
      <c r="B562" t="s">
        <v>19</v>
      </c>
      <c r="C562" t="s">
        <v>12</v>
      </c>
      <c r="D562">
        <v>408</v>
      </c>
      <c r="E562">
        <v>6.2</v>
      </c>
      <c r="F562">
        <v>2245</v>
      </c>
      <c r="G562">
        <v>69</v>
      </c>
      <c r="H562">
        <v>1103</v>
      </c>
      <c r="I562">
        <v>38</v>
      </c>
      <c r="J562" t="str">
        <f>IF(Table2[[#This Row],[Age]]&lt;=24, "18 - 24", IF(Table2[[#This Row],[Age]]&lt;=34, "25 - 34", IF(Table2[[#This Row],[Age]]&lt;=44, "35 - 44", IF(Table2[[#This Row],[Age]]&lt;=54, "45 - 54", "55 - 59"))))</f>
        <v>35 - 44</v>
      </c>
      <c r="K562" t="str">
        <f>IF(Table2[[#This Row],[Age]]&lt;=24, "Young Adults", IF(Table2[[#This Row],[Age]]&lt;=34, "Early Career", IF(Table2[[#This Row],[Age]]&lt;=44, "Mid Career", IF(Table2[[#This Row],[Age]]&lt;=54, "Mature Adults", "Pre-retirment"))))</f>
        <v>Mid Career</v>
      </c>
      <c r="L562" t="s">
        <v>15</v>
      </c>
      <c r="M562">
        <v>4</v>
      </c>
      <c r="N562" t="str">
        <f t="shared" si="8"/>
        <v>Heavy User</v>
      </c>
    </row>
    <row r="563" spans="1:14" x14ac:dyDescent="0.25">
      <c r="A563">
        <v>562</v>
      </c>
      <c r="B563" t="s">
        <v>16</v>
      </c>
      <c r="C563" t="s">
        <v>12</v>
      </c>
      <c r="D563">
        <v>121</v>
      </c>
      <c r="E563">
        <v>2.1</v>
      </c>
      <c r="F563">
        <v>1188</v>
      </c>
      <c r="G563">
        <v>21</v>
      </c>
      <c r="H563">
        <v>578</v>
      </c>
      <c r="I563">
        <v>18</v>
      </c>
      <c r="J563" t="str">
        <f>IF(Table2[[#This Row],[Age]]&lt;=24, "18 - 24", IF(Table2[[#This Row],[Age]]&lt;=34, "25 - 34", IF(Table2[[#This Row],[Age]]&lt;=44, "35 - 44", IF(Table2[[#This Row],[Age]]&lt;=54, "45 - 54", "55 - 59"))))</f>
        <v>18 - 24</v>
      </c>
      <c r="K563" t="str">
        <f>IF(Table2[[#This Row],[Age]]&lt;=24, "Young Adults", IF(Table2[[#This Row],[Age]]&lt;=34, "Early Career", IF(Table2[[#This Row],[Age]]&lt;=44, "Mid Career", IF(Table2[[#This Row],[Age]]&lt;=54, "Mature Adults", "Pre-retirment"))))</f>
        <v>Young Adults</v>
      </c>
      <c r="L563" t="s">
        <v>13</v>
      </c>
      <c r="M563">
        <v>2</v>
      </c>
      <c r="N563" t="str">
        <f t="shared" si="8"/>
        <v>Light User</v>
      </c>
    </row>
    <row r="564" spans="1:14" x14ac:dyDescent="0.25">
      <c r="A564">
        <v>563</v>
      </c>
      <c r="B564" t="s">
        <v>11</v>
      </c>
      <c r="C564" t="s">
        <v>12</v>
      </c>
      <c r="D564">
        <v>71</v>
      </c>
      <c r="E564">
        <v>1.4</v>
      </c>
      <c r="F564">
        <v>508</v>
      </c>
      <c r="G564">
        <v>15</v>
      </c>
      <c r="H564">
        <v>265</v>
      </c>
      <c r="I564">
        <v>33</v>
      </c>
      <c r="J564" t="str">
        <f>IF(Table2[[#This Row],[Age]]&lt;=24, "18 - 24", IF(Table2[[#This Row],[Age]]&lt;=34, "25 - 34", IF(Table2[[#This Row],[Age]]&lt;=44, "35 - 44", IF(Table2[[#This Row],[Age]]&lt;=54, "45 - 54", "55 - 59"))))</f>
        <v>25 - 34</v>
      </c>
      <c r="K564" t="str">
        <f>IF(Table2[[#This Row],[Age]]&lt;=24, "Young Adults", IF(Table2[[#This Row],[Age]]&lt;=34, "Early Career", IF(Table2[[#This Row],[Age]]&lt;=44, "Mid Career", IF(Table2[[#This Row],[Age]]&lt;=54, "Mature Adults", "Pre-retirment"))))</f>
        <v>Early Career</v>
      </c>
      <c r="L564" t="s">
        <v>15</v>
      </c>
      <c r="M564">
        <v>1</v>
      </c>
      <c r="N564" t="str">
        <f t="shared" si="8"/>
        <v>Light User</v>
      </c>
    </row>
    <row r="565" spans="1:14" x14ac:dyDescent="0.25">
      <c r="A565">
        <v>564</v>
      </c>
      <c r="B565" t="s">
        <v>17</v>
      </c>
      <c r="C565" t="s">
        <v>18</v>
      </c>
      <c r="D565">
        <v>46</v>
      </c>
      <c r="E565">
        <v>1.6</v>
      </c>
      <c r="F565">
        <v>440</v>
      </c>
      <c r="G565">
        <v>10</v>
      </c>
      <c r="H565">
        <v>265</v>
      </c>
      <c r="I565">
        <v>31</v>
      </c>
      <c r="J565" t="str">
        <f>IF(Table2[[#This Row],[Age]]&lt;=24, "18 - 24", IF(Table2[[#This Row],[Age]]&lt;=34, "25 - 34", IF(Table2[[#This Row],[Age]]&lt;=44, "35 - 44", IF(Table2[[#This Row],[Age]]&lt;=54, "45 - 54", "55 - 59"))))</f>
        <v>25 - 34</v>
      </c>
      <c r="K565" t="str">
        <f>IF(Table2[[#This Row],[Age]]&lt;=24, "Young Adults", IF(Table2[[#This Row],[Age]]&lt;=34, "Early Career", IF(Table2[[#This Row],[Age]]&lt;=44, "Mid Career", IF(Table2[[#This Row],[Age]]&lt;=54, "Mature Adults", "Pre-retirment"))))</f>
        <v>Early Career</v>
      </c>
      <c r="L565" t="s">
        <v>13</v>
      </c>
      <c r="M565">
        <v>1</v>
      </c>
      <c r="N565" t="str">
        <f t="shared" si="8"/>
        <v>Light User</v>
      </c>
    </row>
    <row r="566" spans="1:14" x14ac:dyDescent="0.25">
      <c r="A566">
        <v>565</v>
      </c>
      <c r="B566" t="s">
        <v>16</v>
      </c>
      <c r="C566" t="s">
        <v>12</v>
      </c>
      <c r="D566">
        <v>290</v>
      </c>
      <c r="E566">
        <v>4.4000000000000004</v>
      </c>
      <c r="F566">
        <v>1272</v>
      </c>
      <c r="G566">
        <v>55</v>
      </c>
      <c r="H566">
        <v>910</v>
      </c>
      <c r="I566">
        <v>44</v>
      </c>
      <c r="J566" t="str">
        <f>IF(Table2[[#This Row],[Age]]&lt;=24, "18 - 24", IF(Table2[[#This Row],[Age]]&lt;=34, "25 - 34", IF(Table2[[#This Row],[Age]]&lt;=44, "35 - 44", IF(Table2[[#This Row],[Age]]&lt;=54, "45 - 54", "55 - 59"))))</f>
        <v>35 - 44</v>
      </c>
      <c r="K566" t="str">
        <f>IF(Table2[[#This Row],[Age]]&lt;=24, "Young Adults", IF(Table2[[#This Row],[Age]]&lt;=34, "Early Career", IF(Table2[[#This Row],[Age]]&lt;=44, "Mid Career", IF(Table2[[#This Row],[Age]]&lt;=54, "Mature Adults", "Pre-retirment"))))</f>
        <v>Mid Career</v>
      </c>
      <c r="L566" t="s">
        <v>13</v>
      </c>
      <c r="M566">
        <v>3</v>
      </c>
      <c r="N566" t="str">
        <f t="shared" si="8"/>
        <v>Moderate User</v>
      </c>
    </row>
    <row r="567" spans="1:14" x14ac:dyDescent="0.25">
      <c r="A567">
        <v>566</v>
      </c>
      <c r="B567" t="s">
        <v>19</v>
      </c>
      <c r="C567" t="s">
        <v>12</v>
      </c>
      <c r="D567">
        <v>60</v>
      </c>
      <c r="E567">
        <v>1.3</v>
      </c>
      <c r="F567">
        <v>462</v>
      </c>
      <c r="G567">
        <v>15</v>
      </c>
      <c r="H567">
        <v>296</v>
      </c>
      <c r="I567">
        <v>40</v>
      </c>
      <c r="J567" t="str">
        <f>IF(Table2[[#This Row],[Age]]&lt;=24, "18 - 24", IF(Table2[[#This Row],[Age]]&lt;=34, "25 - 34", IF(Table2[[#This Row],[Age]]&lt;=44, "35 - 44", IF(Table2[[#This Row],[Age]]&lt;=54, "45 - 54", "55 - 59"))))</f>
        <v>35 - 44</v>
      </c>
      <c r="K567" t="str">
        <f>IF(Table2[[#This Row],[Age]]&lt;=24, "Young Adults", IF(Table2[[#This Row],[Age]]&lt;=34, "Early Career", IF(Table2[[#This Row],[Age]]&lt;=44, "Mid Career", IF(Table2[[#This Row],[Age]]&lt;=54, "Mature Adults", "Pre-retirment"))))</f>
        <v>Mid Career</v>
      </c>
      <c r="L567" t="s">
        <v>13</v>
      </c>
      <c r="M567">
        <v>1</v>
      </c>
      <c r="N567" t="str">
        <f t="shared" si="8"/>
        <v>Light User</v>
      </c>
    </row>
    <row r="568" spans="1:14" x14ac:dyDescent="0.25">
      <c r="A568">
        <v>567</v>
      </c>
      <c r="B568" t="s">
        <v>11</v>
      </c>
      <c r="C568" t="s">
        <v>12</v>
      </c>
      <c r="D568">
        <v>116</v>
      </c>
      <c r="E568">
        <v>3.9</v>
      </c>
      <c r="F568">
        <v>1132</v>
      </c>
      <c r="G568">
        <v>26</v>
      </c>
      <c r="H568">
        <v>498</v>
      </c>
      <c r="I568">
        <v>35</v>
      </c>
      <c r="J568" t="str">
        <f>IF(Table2[[#This Row],[Age]]&lt;=24, "18 - 24", IF(Table2[[#This Row],[Age]]&lt;=34, "25 - 34", IF(Table2[[#This Row],[Age]]&lt;=44, "35 - 44", IF(Table2[[#This Row],[Age]]&lt;=54, "45 - 54", "55 - 59"))))</f>
        <v>35 - 44</v>
      </c>
      <c r="K568" t="str">
        <f>IF(Table2[[#This Row],[Age]]&lt;=24, "Young Adults", IF(Table2[[#This Row],[Age]]&lt;=34, "Early Career", IF(Table2[[#This Row],[Age]]&lt;=44, "Mid Career", IF(Table2[[#This Row],[Age]]&lt;=54, "Mature Adults", "Pre-retirment"))))</f>
        <v>Mid Career</v>
      </c>
      <c r="L568" t="s">
        <v>15</v>
      </c>
      <c r="M568">
        <v>2</v>
      </c>
      <c r="N568" t="str">
        <f t="shared" si="8"/>
        <v>Light User</v>
      </c>
    </row>
    <row r="569" spans="1:14" x14ac:dyDescent="0.25">
      <c r="A569">
        <v>568</v>
      </c>
      <c r="B569" t="s">
        <v>14</v>
      </c>
      <c r="C569" t="s">
        <v>12</v>
      </c>
      <c r="D569">
        <v>86</v>
      </c>
      <c r="E569">
        <v>1.7</v>
      </c>
      <c r="F569">
        <v>312</v>
      </c>
      <c r="G569">
        <v>16</v>
      </c>
      <c r="H569">
        <v>227</v>
      </c>
      <c r="I569">
        <v>32</v>
      </c>
      <c r="J569" t="str">
        <f>IF(Table2[[#This Row],[Age]]&lt;=24, "18 - 24", IF(Table2[[#This Row],[Age]]&lt;=34, "25 - 34", IF(Table2[[#This Row],[Age]]&lt;=44, "35 - 44", IF(Table2[[#This Row],[Age]]&lt;=54, "45 - 54", "55 - 59"))))</f>
        <v>25 - 34</v>
      </c>
      <c r="K569" t="str">
        <f>IF(Table2[[#This Row],[Age]]&lt;=24, "Young Adults", IF(Table2[[#This Row],[Age]]&lt;=34, "Early Career", IF(Table2[[#This Row],[Age]]&lt;=44, "Mid Career", IF(Table2[[#This Row],[Age]]&lt;=54, "Mature Adults", "Pre-retirment"))))</f>
        <v>Early Career</v>
      </c>
      <c r="L569" t="s">
        <v>13</v>
      </c>
      <c r="M569">
        <v>1</v>
      </c>
      <c r="N569" t="str">
        <f t="shared" si="8"/>
        <v>Light User</v>
      </c>
    </row>
    <row r="570" spans="1:14" x14ac:dyDescent="0.25">
      <c r="A570">
        <v>569</v>
      </c>
      <c r="B570" t="s">
        <v>11</v>
      </c>
      <c r="C570" t="s">
        <v>12</v>
      </c>
      <c r="D570">
        <v>291</v>
      </c>
      <c r="E570">
        <v>5.3</v>
      </c>
      <c r="F570">
        <v>1537</v>
      </c>
      <c r="G570">
        <v>43</v>
      </c>
      <c r="H570">
        <v>700</v>
      </c>
      <c r="I570">
        <v>49</v>
      </c>
      <c r="J570" t="str">
        <f>IF(Table2[[#This Row],[Age]]&lt;=24, "18 - 24", IF(Table2[[#This Row],[Age]]&lt;=34, "25 - 34", IF(Table2[[#This Row],[Age]]&lt;=44, "35 - 44", IF(Table2[[#This Row],[Age]]&lt;=54, "45 - 54", "55 - 59"))))</f>
        <v>45 - 54</v>
      </c>
      <c r="K570" t="str">
        <f>IF(Table2[[#This Row],[Age]]&lt;=24, "Young Adults", IF(Table2[[#This Row],[Age]]&lt;=34, "Early Career", IF(Table2[[#This Row],[Age]]&lt;=44, "Mid Career", IF(Table2[[#This Row],[Age]]&lt;=54, "Mature Adults", "Pre-retirment"))))</f>
        <v>Mature Adults</v>
      </c>
      <c r="L570" t="s">
        <v>15</v>
      </c>
      <c r="M570">
        <v>3</v>
      </c>
      <c r="N570" t="str">
        <f t="shared" si="8"/>
        <v>Moderate User</v>
      </c>
    </row>
    <row r="571" spans="1:14" x14ac:dyDescent="0.25">
      <c r="A571">
        <v>570</v>
      </c>
      <c r="B571" t="s">
        <v>11</v>
      </c>
      <c r="C571" t="s">
        <v>12</v>
      </c>
      <c r="D571">
        <v>404</v>
      </c>
      <c r="E571">
        <v>6.6</v>
      </c>
      <c r="F571">
        <v>2181</v>
      </c>
      <c r="G571">
        <v>77</v>
      </c>
      <c r="H571">
        <v>1327</v>
      </c>
      <c r="I571">
        <v>18</v>
      </c>
      <c r="J571" t="str">
        <f>IF(Table2[[#This Row],[Age]]&lt;=24, "18 - 24", IF(Table2[[#This Row],[Age]]&lt;=34, "25 - 34", IF(Table2[[#This Row],[Age]]&lt;=44, "35 - 44", IF(Table2[[#This Row],[Age]]&lt;=54, "45 - 54", "55 - 59"))))</f>
        <v>18 - 24</v>
      </c>
      <c r="K571" t="str">
        <f>IF(Table2[[#This Row],[Age]]&lt;=24, "Young Adults", IF(Table2[[#This Row],[Age]]&lt;=34, "Early Career", IF(Table2[[#This Row],[Age]]&lt;=44, "Mid Career", IF(Table2[[#This Row],[Age]]&lt;=54, "Mature Adults", "Pre-retirment"))))</f>
        <v>Young Adults</v>
      </c>
      <c r="L571" t="s">
        <v>13</v>
      </c>
      <c r="M571">
        <v>4</v>
      </c>
      <c r="N571" t="str">
        <f t="shared" si="8"/>
        <v>Heavy User</v>
      </c>
    </row>
    <row r="572" spans="1:14" x14ac:dyDescent="0.25">
      <c r="A572">
        <v>571</v>
      </c>
      <c r="B572" t="s">
        <v>14</v>
      </c>
      <c r="C572" t="s">
        <v>12</v>
      </c>
      <c r="D572">
        <v>441</v>
      </c>
      <c r="E572">
        <v>7.1</v>
      </c>
      <c r="F572">
        <v>1928</v>
      </c>
      <c r="G572">
        <v>74</v>
      </c>
      <c r="H572">
        <v>1421</v>
      </c>
      <c r="I572">
        <v>57</v>
      </c>
      <c r="J572" t="str">
        <f>IF(Table2[[#This Row],[Age]]&lt;=24, "18 - 24", IF(Table2[[#This Row],[Age]]&lt;=34, "25 - 34", IF(Table2[[#This Row],[Age]]&lt;=44, "35 - 44", IF(Table2[[#This Row],[Age]]&lt;=54, "45 - 54", "55 - 59"))))</f>
        <v>55 - 59</v>
      </c>
      <c r="K572" t="str">
        <f>IF(Table2[[#This Row],[Age]]&lt;=24, "Young Adults", IF(Table2[[#This Row],[Age]]&lt;=34, "Early Career", IF(Table2[[#This Row],[Age]]&lt;=44, "Mid Career", IF(Table2[[#This Row],[Age]]&lt;=54, "Mature Adults", "Pre-retirment"))))</f>
        <v>Pre-retirment</v>
      </c>
      <c r="L572" t="s">
        <v>13</v>
      </c>
      <c r="M572">
        <v>4</v>
      </c>
      <c r="N572" t="str">
        <f t="shared" si="8"/>
        <v>Heavy User</v>
      </c>
    </row>
    <row r="573" spans="1:14" x14ac:dyDescent="0.25">
      <c r="A573">
        <v>572</v>
      </c>
      <c r="B573" t="s">
        <v>11</v>
      </c>
      <c r="C573" t="s">
        <v>12</v>
      </c>
      <c r="D573">
        <v>444</v>
      </c>
      <c r="E573">
        <v>6.1</v>
      </c>
      <c r="F573">
        <v>2229</v>
      </c>
      <c r="G573">
        <v>73</v>
      </c>
      <c r="H573">
        <v>1194</v>
      </c>
      <c r="I573">
        <v>25</v>
      </c>
      <c r="J573" t="str">
        <f>IF(Table2[[#This Row],[Age]]&lt;=24, "18 - 24", IF(Table2[[#This Row],[Age]]&lt;=34, "25 - 34", IF(Table2[[#This Row],[Age]]&lt;=44, "35 - 44", IF(Table2[[#This Row],[Age]]&lt;=54, "45 - 54", "55 - 59"))))</f>
        <v>25 - 34</v>
      </c>
      <c r="K573" t="str">
        <f>IF(Table2[[#This Row],[Age]]&lt;=24, "Young Adults", IF(Table2[[#This Row],[Age]]&lt;=34, "Early Career", IF(Table2[[#This Row],[Age]]&lt;=44, "Mid Career", IF(Table2[[#This Row],[Age]]&lt;=54, "Mature Adults", "Pre-retirment"))))</f>
        <v>Early Career</v>
      </c>
      <c r="L573" t="s">
        <v>15</v>
      </c>
      <c r="M573">
        <v>4</v>
      </c>
      <c r="N573" t="str">
        <f t="shared" si="8"/>
        <v>Heavy User</v>
      </c>
    </row>
    <row r="574" spans="1:14" x14ac:dyDescent="0.25">
      <c r="A574">
        <v>573</v>
      </c>
      <c r="B574" t="s">
        <v>14</v>
      </c>
      <c r="C574" t="s">
        <v>12</v>
      </c>
      <c r="D574">
        <v>211</v>
      </c>
      <c r="E574">
        <v>5.9</v>
      </c>
      <c r="F574">
        <v>1757</v>
      </c>
      <c r="G574">
        <v>42</v>
      </c>
      <c r="H574">
        <v>864</v>
      </c>
      <c r="I574">
        <v>56</v>
      </c>
      <c r="J574" t="str">
        <f>IF(Table2[[#This Row],[Age]]&lt;=24, "18 - 24", IF(Table2[[#This Row],[Age]]&lt;=34, "25 - 34", IF(Table2[[#This Row],[Age]]&lt;=44, "35 - 44", IF(Table2[[#This Row],[Age]]&lt;=54, "45 - 54", "55 - 59"))))</f>
        <v>55 - 59</v>
      </c>
      <c r="K574" t="str">
        <f>IF(Table2[[#This Row],[Age]]&lt;=24, "Young Adults", IF(Table2[[#This Row],[Age]]&lt;=34, "Early Career", IF(Table2[[#This Row],[Age]]&lt;=44, "Mid Career", IF(Table2[[#This Row],[Age]]&lt;=54, "Mature Adults", "Pre-retirment"))))</f>
        <v>Pre-retirment</v>
      </c>
      <c r="L574" t="s">
        <v>15</v>
      </c>
      <c r="M574">
        <v>3</v>
      </c>
      <c r="N574" t="str">
        <f t="shared" si="8"/>
        <v>Moderate User</v>
      </c>
    </row>
    <row r="575" spans="1:14" x14ac:dyDescent="0.25">
      <c r="A575">
        <v>574</v>
      </c>
      <c r="B575" t="s">
        <v>19</v>
      </c>
      <c r="C575" t="s">
        <v>12</v>
      </c>
      <c r="D575">
        <v>537</v>
      </c>
      <c r="E575">
        <v>9.1</v>
      </c>
      <c r="F575">
        <v>2858</v>
      </c>
      <c r="G575">
        <v>86</v>
      </c>
      <c r="H575">
        <v>2158</v>
      </c>
      <c r="I575">
        <v>22</v>
      </c>
      <c r="J575" t="str">
        <f>IF(Table2[[#This Row],[Age]]&lt;=24, "18 - 24", IF(Table2[[#This Row],[Age]]&lt;=34, "25 - 34", IF(Table2[[#This Row],[Age]]&lt;=44, "35 - 44", IF(Table2[[#This Row],[Age]]&lt;=54, "45 - 54", "55 - 59"))))</f>
        <v>18 - 24</v>
      </c>
      <c r="K575" t="str">
        <f>IF(Table2[[#This Row],[Age]]&lt;=24, "Young Adults", IF(Table2[[#This Row],[Age]]&lt;=34, "Early Career", IF(Table2[[#This Row],[Age]]&lt;=44, "Mid Career", IF(Table2[[#This Row],[Age]]&lt;=54, "Mature Adults", "Pre-retirment"))))</f>
        <v>Young Adults</v>
      </c>
      <c r="L575" t="s">
        <v>13</v>
      </c>
      <c r="M575">
        <v>5</v>
      </c>
      <c r="N575" t="str">
        <f t="shared" si="8"/>
        <v>Heavy User</v>
      </c>
    </row>
    <row r="576" spans="1:14" x14ac:dyDescent="0.25">
      <c r="A576">
        <v>575</v>
      </c>
      <c r="B576" t="s">
        <v>16</v>
      </c>
      <c r="C576" t="s">
        <v>12</v>
      </c>
      <c r="D576">
        <v>519</v>
      </c>
      <c r="E576">
        <v>10.9</v>
      </c>
      <c r="F576">
        <v>2571</v>
      </c>
      <c r="G576">
        <v>93</v>
      </c>
      <c r="H576">
        <v>2163</v>
      </c>
      <c r="I576">
        <v>47</v>
      </c>
      <c r="J576" t="str">
        <f>IF(Table2[[#This Row],[Age]]&lt;=24, "18 - 24", IF(Table2[[#This Row],[Age]]&lt;=34, "25 - 34", IF(Table2[[#This Row],[Age]]&lt;=44, "35 - 44", IF(Table2[[#This Row],[Age]]&lt;=54, "45 - 54", "55 - 59"))))</f>
        <v>45 - 54</v>
      </c>
      <c r="K576" t="str">
        <f>IF(Table2[[#This Row],[Age]]&lt;=24, "Young Adults", IF(Table2[[#This Row],[Age]]&lt;=34, "Early Career", IF(Table2[[#This Row],[Age]]&lt;=44, "Mid Career", IF(Table2[[#This Row],[Age]]&lt;=54, "Mature Adults", "Pre-retirment"))))</f>
        <v>Mature Adults</v>
      </c>
      <c r="L576" t="s">
        <v>15</v>
      </c>
      <c r="M576">
        <v>5</v>
      </c>
      <c r="N576" t="str">
        <f t="shared" si="8"/>
        <v>Heavy User</v>
      </c>
    </row>
    <row r="577" spans="1:14" x14ac:dyDescent="0.25">
      <c r="A577">
        <v>576</v>
      </c>
      <c r="B577" t="s">
        <v>19</v>
      </c>
      <c r="C577" t="s">
        <v>12</v>
      </c>
      <c r="D577">
        <v>94</v>
      </c>
      <c r="E577">
        <v>3.5</v>
      </c>
      <c r="F577">
        <v>606</v>
      </c>
      <c r="G577">
        <v>30</v>
      </c>
      <c r="H577">
        <v>446</v>
      </c>
      <c r="I577">
        <v>49</v>
      </c>
      <c r="J577" t="str">
        <f>IF(Table2[[#This Row],[Age]]&lt;=24, "18 - 24", IF(Table2[[#This Row],[Age]]&lt;=34, "25 - 34", IF(Table2[[#This Row],[Age]]&lt;=44, "35 - 44", IF(Table2[[#This Row],[Age]]&lt;=54, "45 - 54", "55 - 59"))))</f>
        <v>45 - 54</v>
      </c>
      <c r="K577" t="str">
        <f>IF(Table2[[#This Row],[Age]]&lt;=24, "Young Adults", IF(Table2[[#This Row],[Age]]&lt;=34, "Early Career", IF(Table2[[#This Row],[Age]]&lt;=44, "Mid Career", IF(Table2[[#This Row],[Age]]&lt;=54, "Mature Adults", "Pre-retirment"))))</f>
        <v>Mature Adults</v>
      </c>
      <c r="L577" t="s">
        <v>13</v>
      </c>
      <c r="M577">
        <v>2</v>
      </c>
      <c r="N577" t="str">
        <f t="shared" si="8"/>
        <v>Light User</v>
      </c>
    </row>
    <row r="578" spans="1:14" x14ac:dyDescent="0.25">
      <c r="A578">
        <v>577</v>
      </c>
      <c r="B578" t="s">
        <v>11</v>
      </c>
      <c r="C578" t="s">
        <v>12</v>
      </c>
      <c r="D578">
        <v>554</v>
      </c>
      <c r="E578">
        <v>10.3</v>
      </c>
      <c r="F578">
        <v>2776</v>
      </c>
      <c r="G578">
        <v>83</v>
      </c>
      <c r="H578">
        <v>1606</v>
      </c>
      <c r="I578">
        <v>34</v>
      </c>
      <c r="J578" t="str">
        <f>IF(Table2[[#This Row],[Age]]&lt;=24, "18 - 24", IF(Table2[[#This Row],[Age]]&lt;=34, "25 - 34", IF(Table2[[#This Row],[Age]]&lt;=44, "35 - 44", IF(Table2[[#This Row],[Age]]&lt;=54, "45 - 54", "55 - 59"))))</f>
        <v>25 - 34</v>
      </c>
      <c r="K578" t="str">
        <f>IF(Table2[[#This Row],[Age]]&lt;=24, "Young Adults", IF(Table2[[#This Row],[Age]]&lt;=34, "Early Career", IF(Table2[[#This Row],[Age]]&lt;=44, "Mid Career", IF(Table2[[#This Row],[Age]]&lt;=54, "Mature Adults", "Pre-retirment"))))</f>
        <v>Early Career</v>
      </c>
      <c r="L578" t="s">
        <v>15</v>
      </c>
      <c r="M578">
        <v>5</v>
      </c>
      <c r="N578" t="str">
        <f t="shared" si="8"/>
        <v>Heavy User</v>
      </c>
    </row>
    <row r="579" spans="1:14" x14ac:dyDescent="0.25">
      <c r="A579">
        <v>578</v>
      </c>
      <c r="B579" t="s">
        <v>17</v>
      </c>
      <c r="C579" t="s">
        <v>18</v>
      </c>
      <c r="D579">
        <v>381</v>
      </c>
      <c r="E579">
        <v>7.5</v>
      </c>
      <c r="F579">
        <v>2216</v>
      </c>
      <c r="G579">
        <v>66</v>
      </c>
      <c r="H579">
        <v>1291</v>
      </c>
      <c r="I579">
        <v>37</v>
      </c>
      <c r="J579" t="str">
        <f>IF(Table2[[#This Row],[Age]]&lt;=24, "18 - 24", IF(Table2[[#This Row],[Age]]&lt;=34, "25 - 34", IF(Table2[[#This Row],[Age]]&lt;=44, "35 - 44", IF(Table2[[#This Row],[Age]]&lt;=54, "45 - 54", "55 - 59"))))</f>
        <v>35 - 44</v>
      </c>
      <c r="K579" t="str">
        <f>IF(Table2[[#This Row],[Age]]&lt;=24, "Young Adults", IF(Table2[[#This Row],[Age]]&lt;=34, "Early Career", IF(Table2[[#This Row],[Age]]&lt;=44, "Mid Career", IF(Table2[[#This Row],[Age]]&lt;=54, "Mature Adults", "Pre-retirment"))))</f>
        <v>Mid Career</v>
      </c>
      <c r="L579" t="s">
        <v>15</v>
      </c>
      <c r="M579">
        <v>4</v>
      </c>
      <c r="N579" t="str">
        <f t="shared" ref="N579:N642" si="9">IF(M579&lt;=2, "Light User", IF(M579=3, "Moderate User", "Heavy User"))</f>
        <v>Heavy User</v>
      </c>
    </row>
    <row r="580" spans="1:14" x14ac:dyDescent="0.25">
      <c r="A580">
        <v>579</v>
      </c>
      <c r="B580" t="s">
        <v>14</v>
      </c>
      <c r="C580" t="s">
        <v>12</v>
      </c>
      <c r="D580">
        <v>257</v>
      </c>
      <c r="E580">
        <v>6</v>
      </c>
      <c r="F580">
        <v>1715</v>
      </c>
      <c r="G580">
        <v>49</v>
      </c>
      <c r="H580">
        <v>916</v>
      </c>
      <c r="I580">
        <v>40</v>
      </c>
      <c r="J580" t="str">
        <f>IF(Table2[[#This Row],[Age]]&lt;=24, "18 - 24", IF(Table2[[#This Row],[Age]]&lt;=34, "25 - 34", IF(Table2[[#This Row],[Age]]&lt;=44, "35 - 44", IF(Table2[[#This Row],[Age]]&lt;=54, "45 - 54", "55 - 59"))))</f>
        <v>35 - 44</v>
      </c>
      <c r="K580" t="str">
        <f>IF(Table2[[#This Row],[Age]]&lt;=24, "Young Adults", IF(Table2[[#This Row],[Age]]&lt;=34, "Early Career", IF(Table2[[#This Row],[Age]]&lt;=44, "Mid Career", IF(Table2[[#This Row],[Age]]&lt;=54, "Mature Adults", "Pre-retirment"))))</f>
        <v>Mid Career</v>
      </c>
      <c r="L580" t="s">
        <v>15</v>
      </c>
      <c r="M580">
        <v>3</v>
      </c>
      <c r="N580" t="str">
        <f t="shared" si="9"/>
        <v>Moderate User</v>
      </c>
    </row>
    <row r="581" spans="1:14" x14ac:dyDescent="0.25">
      <c r="A581">
        <v>580</v>
      </c>
      <c r="B581" t="s">
        <v>19</v>
      </c>
      <c r="C581" t="s">
        <v>12</v>
      </c>
      <c r="D581">
        <v>47</v>
      </c>
      <c r="E581">
        <v>1.1000000000000001</v>
      </c>
      <c r="F581">
        <v>532</v>
      </c>
      <c r="G581">
        <v>18</v>
      </c>
      <c r="H581">
        <v>122</v>
      </c>
      <c r="I581">
        <v>36</v>
      </c>
      <c r="J581" t="str">
        <f>IF(Table2[[#This Row],[Age]]&lt;=24, "18 - 24", IF(Table2[[#This Row],[Age]]&lt;=34, "25 - 34", IF(Table2[[#This Row],[Age]]&lt;=44, "35 - 44", IF(Table2[[#This Row],[Age]]&lt;=54, "45 - 54", "55 - 59"))))</f>
        <v>35 - 44</v>
      </c>
      <c r="K581" t="str">
        <f>IF(Table2[[#This Row],[Age]]&lt;=24, "Young Adults", IF(Table2[[#This Row],[Age]]&lt;=34, "Early Career", IF(Table2[[#This Row],[Age]]&lt;=44, "Mid Career", IF(Table2[[#This Row],[Age]]&lt;=54, "Mature Adults", "Pre-retirment"))))</f>
        <v>Mid Career</v>
      </c>
      <c r="L581" t="s">
        <v>13</v>
      </c>
      <c r="M581">
        <v>1</v>
      </c>
      <c r="N581" t="str">
        <f t="shared" si="9"/>
        <v>Light User</v>
      </c>
    </row>
    <row r="582" spans="1:14" x14ac:dyDescent="0.25">
      <c r="A582">
        <v>581</v>
      </c>
      <c r="B582" t="s">
        <v>17</v>
      </c>
      <c r="C582" t="s">
        <v>18</v>
      </c>
      <c r="D582">
        <v>527</v>
      </c>
      <c r="E582">
        <v>10</v>
      </c>
      <c r="F582">
        <v>2430</v>
      </c>
      <c r="G582">
        <v>82</v>
      </c>
      <c r="H582">
        <v>1737</v>
      </c>
      <c r="I582">
        <v>27</v>
      </c>
      <c r="J582" t="str">
        <f>IF(Table2[[#This Row],[Age]]&lt;=24, "18 - 24", IF(Table2[[#This Row],[Age]]&lt;=34, "25 - 34", IF(Table2[[#This Row],[Age]]&lt;=44, "35 - 44", IF(Table2[[#This Row],[Age]]&lt;=54, "45 - 54", "55 - 59"))))</f>
        <v>25 - 34</v>
      </c>
      <c r="K582" t="str">
        <f>IF(Table2[[#This Row],[Age]]&lt;=24, "Young Adults", IF(Table2[[#This Row],[Age]]&lt;=34, "Early Career", IF(Table2[[#This Row],[Age]]&lt;=44, "Mid Career", IF(Table2[[#This Row],[Age]]&lt;=54, "Mature Adults", "Pre-retirment"))))</f>
        <v>Early Career</v>
      </c>
      <c r="L582" t="s">
        <v>15</v>
      </c>
      <c r="M582">
        <v>5</v>
      </c>
      <c r="N582" t="str">
        <f t="shared" si="9"/>
        <v>Heavy User</v>
      </c>
    </row>
    <row r="583" spans="1:14" x14ac:dyDescent="0.25">
      <c r="A583">
        <v>582</v>
      </c>
      <c r="B583" t="s">
        <v>19</v>
      </c>
      <c r="C583" t="s">
        <v>12</v>
      </c>
      <c r="D583">
        <v>148</v>
      </c>
      <c r="E583">
        <v>2.7</v>
      </c>
      <c r="F583">
        <v>625</v>
      </c>
      <c r="G583">
        <v>34</v>
      </c>
      <c r="H583">
        <v>416</v>
      </c>
      <c r="I583">
        <v>27</v>
      </c>
      <c r="J583" t="str">
        <f>IF(Table2[[#This Row],[Age]]&lt;=24, "18 - 24", IF(Table2[[#This Row],[Age]]&lt;=34, "25 - 34", IF(Table2[[#This Row],[Age]]&lt;=44, "35 - 44", IF(Table2[[#This Row],[Age]]&lt;=54, "45 - 54", "55 - 59"))))</f>
        <v>25 - 34</v>
      </c>
      <c r="K583" t="str">
        <f>IF(Table2[[#This Row],[Age]]&lt;=24, "Young Adults", IF(Table2[[#This Row],[Age]]&lt;=34, "Early Career", IF(Table2[[#This Row],[Age]]&lt;=44, "Mid Career", IF(Table2[[#This Row],[Age]]&lt;=54, "Mature Adults", "Pre-retirment"))))</f>
        <v>Early Career</v>
      </c>
      <c r="L583" t="s">
        <v>13</v>
      </c>
      <c r="M583">
        <v>2</v>
      </c>
      <c r="N583" t="str">
        <f t="shared" si="9"/>
        <v>Light User</v>
      </c>
    </row>
    <row r="584" spans="1:14" x14ac:dyDescent="0.25">
      <c r="A584">
        <v>583</v>
      </c>
      <c r="B584" t="s">
        <v>17</v>
      </c>
      <c r="C584" t="s">
        <v>18</v>
      </c>
      <c r="D584">
        <v>191</v>
      </c>
      <c r="E584">
        <v>5.7</v>
      </c>
      <c r="F584">
        <v>1414</v>
      </c>
      <c r="G584">
        <v>53</v>
      </c>
      <c r="H584">
        <v>991</v>
      </c>
      <c r="I584">
        <v>19</v>
      </c>
      <c r="J584" t="str">
        <f>IF(Table2[[#This Row],[Age]]&lt;=24, "18 - 24", IF(Table2[[#This Row],[Age]]&lt;=34, "25 - 34", IF(Table2[[#This Row],[Age]]&lt;=44, "35 - 44", IF(Table2[[#This Row],[Age]]&lt;=54, "45 - 54", "55 - 59"))))</f>
        <v>18 - 24</v>
      </c>
      <c r="K584" t="str">
        <f>IF(Table2[[#This Row],[Age]]&lt;=24, "Young Adults", IF(Table2[[#This Row],[Age]]&lt;=34, "Early Career", IF(Table2[[#This Row],[Age]]&lt;=44, "Mid Career", IF(Table2[[#This Row],[Age]]&lt;=54, "Mature Adults", "Pre-retirment"))))</f>
        <v>Young Adults</v>
      </c>
      <c r="L584" t="s">
        <v>15</v>
      </c>
      <c r="M584">
        <v>3</v>
      </c>
      <c r="N584" t="str">
        <f t="shared" si="9"/>
        <v>Moderate User</v>
      </c>
    </row>
    <row r="585" spans="1:14" x14ac:dyDescent="0.25">
      <c r="A585">
        <v>584</v>
      </c>
      <c r="B585" t="s">
        <v>11</v>
      </c>
      <c r="C585" t="s">
        <v>12</v>
      </c>
      <c r="D585">
        <v>71</v>
      </c>
      <c r="E585">
        <v>1.9</v>
      </c>
      <c r="F585">
        <v>571</v>
      </c>
      <c r="G585">
        <v>10</v>
      </c>
      <c r="H585">
        <v>117</v>
      </c>
      <c r="I585">
        <v>43</v>
      </c>
      <c r="J585" t="str">
        <f>IF(Table2[[#This Row],[Age]]&lt;=24, "18 - 24", IF(Table2[[#This Row],[Age]]&lt;=34, "25 - 34", IF(Table2[[#This Row],[Age]]&lt;=44, "35 - 44", IF(Table2[[#This Row],[Age]]&lt;=54, "45 - 54", "55 - 59"))))</f>
        <v>35 - 44</v>
      </c>
      <c r="K585" t="str">
        <f>IF(Table2[[#This Row],[Age]]&lt;=24, "Young Adults", IF(Table2[[#This Row],[Age]]&lt;=34, "Early Career", IF(Table2[[#This Row],[Age]]&lt;=44, "Mid Career", IF(Table2[[#This Row],[Age]]&lt;=54, "Mature Adults", "Pre-retirment"))))</f>
        <v>Mid Career</v>
      </c>
      <c r="L585" t="s">
        <v>15</v>
      </c>
      <c r="M585">
        <v>1</v>
      </c>
      <c r="N585" t="str">
        <f t="shared" si="9"/>
        <v>Light User</v>
      </c>
    </row>
    <row r="586" spans="1:14" x14ac:dyDescent="0.25">
      <c r="A586">
        <v>585</v>
      </c>
      <c r="B586" t="s">
        <v>14</v>
      </c>
      <c r="C586" t="s">
        <v>12</v>
      </c>
      <c r="D586">
        <v>73</v>
      </c>
      <c r="E586">
        <v>1.3</v>
      </c>
      <c r="F586">
        <v>538</v>
      </c>
      <c r="G586">
        <v>19</v>
      </c>
      <c r="H586">
        <v>175</v>
      </c>
      <c r="I586">
        <v>30</v>
      </c>
      <c r="J586" t="str">
        <f>IF(Table2[[#This Row],[Age]]&lt;=24, "18 - 24", IF(Table2[[#This Row],[Age]]&lt;=34, "25 - 34", IF(Table2[[#This Row],[Age]]&lt;=44, "35 - 44", IF(Table2[[#This Row],[Age]]&lt;=54, "45 - 54", "55 - 59"))))</f>
        <v>25 - 34</v>
      </c>
      <c r="K586" t="str">
        <f>IF(Table2[[#This Row],[Age]]&lt;=24, "Young Adults", IF(Table2[[#This Row],[Age]]&lt;=34, "Early Career", IF(Table2[[#This Row],[Age]]&lt;=44, "Mid Career", IF(Table2[[#This Row],[Age]]&lt;=54, "Mature Adults", "Pre-retirment"))))</f>
        <v>Early Career</v>
      </c>
      <c r="L586" t="s">
        <v>15</v>
      </c>
      <c r="M586">
        <v>1</v>
      </c>
      <c r="N586" t="str">
        <f t="shared" si="9"/>
        <v>Light User</v>
      </c>
    </row>
    <row r="587" spans="1:14" x14ac:dyDescent="0.25">
      <c r="A587">
        <v>586</v>
      </c>
      <c r="B587" t="s">
        <v>14</v>
      </c>
      <c r="C587" t="s">
        <v>12</v>
      </c>
      <c r="D587">
        <v>149</v>
      </c>
      <c r="E587">
        <v>3.1</v>
      </c>
      <c r="F587">
        <v>1191</v>
      </c>
      <c r="G587">
        <v>28</v>
      </c>
      <c r="H587">
        <v>563</v>
      </c>
      <c r="I587">
        <v>29</v>
      </c>
      <c r="J587" t="str">
        <f>IF(Table2[[#This Row],[Age]]&lt;=24, "18 - 24", IF(Table2[[#This Row],[Age]]&lt;=34, "25 - 34", IF(Table2[[#This Row],[Age]]&lt;=44, "35 - 44", IF(Table2[[#This Row],[Age]]&lt;=54, "45 - 54", "55 - 59"))))</f>
        <v>25 - 34</v>
      </c>
      <c r="K587" t="str">
        <f>IF(Table2[[#This Row],[Age]]&lt;=24, "Young Adults", IF(Table2[[#This Row],[Age]]&lt;=34, "Early Career", IF(Table2[[#This Row],[Age]]&lt;=44, "Mid Career", IF(Table2[[#This Row],[Age]]&lt;=54, "Mature Adults", "Pre-retirment"))))</f>
        <v>Early Career</v>
      </c>
      <c r="L587" t="s">
        <v>13</v>
      </c>
      <c r="M587">
        <v>2</v>
      </c>
      <c r="N587" t="str">
        <f t="shared" si="9"/>
        <v>Light User</v>
      </c>
    </row>
    <row r="588" spans="1:14" x14ac:dyDescent="0.25">
      <c r="A588">
        <v>587</v>
      </c>
      <c r="B588" t="s">
        <v>16</v>
      </c>
      <c r="C588" t="s">
        <v>12</v>
      </c>
      <c r="D588">
        <v>197</v>
      </c>
      <c r="E588">
        <v>4.4000000000000004</v>
      </c>
      <c r="F588">
        <v>1665</v>
      </c>
      <c r="G588">
        <v>44</v>
      </c>
      <c r="H588">
        <v>608</v>
      </c>
      <c r="I588">
        <v>43</v>
      </c>
      <c r="J588" t="str">
        <f>IF(Table2[[#This Row],[Age]]&lt;=24, "18 - 24", IF(Table2[[#This Row],[Age]]&lt;=34, "25 - 34", IF(Table2[[#This Row],[Age]]&lt;=44, "35 - 44", IF(Table2[[#This Row],[Age]]&lt;=54, "45 - 54", "55 - 59"))))</f>
        <v>35 - 44</v>
      </c>
      <c r="K588" t="str">
        <f>IF(Table2[[#This Row],[Age]]&lt;=24, "Young Adults", IF(Table2[[#This Row],[Age]]&lt;=34, "Early Career", IF(Table2[[#This Row],[Age]]&lt;=44, "Mid Career", IF(Table2[[#This Row],[Age]]&lt;=54, "Mature Adults", "Pre-retirment"))))</f>
        <v>Mid Career</v>
      </c>
      <c r="L588" t="s">
        <v>15</v>
      </c>
      <c r="M588">
        <v>3</v>
      </c>
      <c r="N588" t="str">
        <f t="shared" si="9"/>
        <v>Moderate User</v>
      </c>
    </row>
    <row r="589" spans="1:14" x14ac:dyDescent="0.25">
      <c r="A589">
        <v>588</v>
      </c>
      <c r="B589" t="s">
        <v>19</v>
      </c>
      <c r="C589" t="s">
        <v>12</v>
      </c>
      <c r="D589">
        <v>328</v>
      </c>
      <c r="E589">
        <v>6.1</v>
      </c>
      <c r="F589">
        <v>1975</v>
      </c>
      <c r="G589">
        <v>72</v>
      </c>
      <c r="H589">
        <v>1101</v>
      </c>
      <c r="I589">
        <v>24</v>
      </c>
      <c r="J589" t="str">
        <f>IF(Table2[[#This Row],[Age]]&lt;=24, "18 - 24", IF(Table2[[#This Row],[Age]]&lt;=34, "25 - 34", IF(Table2[[#This Row],[Age]]&lt;=44, "35 - 44", IF(Table2[[#This Row],[Age]]&lt;=54, "45 - 54", "55 - 59"))))</f>
        <v>18 - 24</v>
      </c>
      <c r="K589" t="str">
        <f>IF(Table2[[#This Row],[Age]]&lt;=24, "Young Adults", IF(Table2[[#This Row],[Age]]&lt;=34, "Early Career", IF(Table2[[#This Row],[Age]]&lt;=44, "Mid Career", IF(Table2[[#This Row],[Age]]&lt;=54, "Mature Adults", "Pre-retirment"))))</f>
        <v>Young Adults</v>
      </c>
      <c r="L589" t="s">
        <v>13</v>
      </c>
      <c r="M589">
        <v>4</v>
      </c>
      <c r="N589" t="str">
        <f t="shared" si="9"/>
        <v>Heavy User</v>
      </c>
    </row>
    <row r="590" spans="1:14" x14ac:dyDescent="0.25">
      <c r="A590">
        <v>589</v>
      </c>
      <c r="B590" t="s">
        <v>14</v>
      </c>
      <c r="C590" t="s">
        <v>12</v>
      </c>
      <c r="D590">
        <v>424</v>
      </c>
      <c r="E590">
        <v>7.5</v>
      </c>
      <c r="F590">
        <v>1995</v>
      </c>
      <c r="G590">
        <v>75</v>
      </c>
      <c r="H590">
        <v>1228</v>
      </c>
      <c r="I590">
        <v>36</v>
      </c>
      <c r="J590" t="str">
        <f>IF(Table2[[#This Row],[Age]]&lt;=24, "18 - 24", IF(Table2[[#This Row],[Age]]&lt;=34, "25 - 34", IF(Table2[[#This Row],[Age]]&lt;=44, "35 - 44", IF(Table2[[#This Row],[Age]]&lt;=54, "45 - 54", "55 - 59"))))</f>
        <v>35 - 44</v>
      </c>
      <c r="K590" t="str">
        <f>IF(Table2[[#This Row],[Age]]&lt;=24, "Young Adults", IF(Table2[[#This Row],[Age]]&lt;=34, "Early Career", IF(Table2[[#This Row],[Age]]&lt;=44, "Mid Career", IF(Table2[[#This Row],[Age]]&lt;=54, "Mature Adults", "Pre-retirment"))))</f>
        <v>Mid Career</v>
      </c>
      <c r="L590" t="s">
        <v>13</v>
      </c>
      <c r="M590">
        <v>4</v>
      </c>
      <c r="N590" t="str">
        <f t="shared" si="9"/>
        <v>Heavy User</v>
      </c>
    </row>
    <row r="591" spans="1:14" x14ac:dyDescent="0.25">
      <c r="A591">
        <v>590</v>
      </c>
      <c r="B591" t="s">
        <v>19</v>
      </c>
      <c r="C591" t="s">
        <v>12</v>
      </c>
      <c r="D591">
        <v>111</v>
      </c>
      <c r="E591">
        <v>3.6</v>
      </c>
      <c r="F591">
        <v>627</v>
      </c>
      <c r="G591">
        <v>26</v>
      </c>
      <c r="H591">
        <v>464</v>
      </c>
      <c r="I591">
        <v>39</v>
      </c>
      <c r="J591" t="str">
        <f>IF(Table2[[#This Row],[Age]]&lt;=24, "18 - 24", IF(Table2[[#This Row],[Age]]&lt;=34, "25 - 34", IF(Table2[[#This Row],[Age]]&lt;=44, "35 - 44", IF(Table2[[#This Row],[Age]]&lt;=54, "45 - 54", "55 - 59"))))</f>
        <v>35 - 44</v>
      </c>
      <c r="K591" t="str">
        <f>IF(Table2[[#This Row],[Age]]&lt;=24, "Young Adults", IF(Table2[[#This Row],[Age]]&lt;=34, "Early Career", IF(Table2[[#This Row],[Age]]&lt;=44, "Mid Career", IF(Table2[[#This Row],[Age]]&lt;=54, "Mature Adults", "Pre-retirment"))))</f>
        <v>Mid Career</v>
      </c>
      <c r="L591" t="s">
        <v>15</v>
      </c>
      <c r="M591">
        <v>2</v>
      </c>
      <c r="N591" t="str">
        <f t="shared" si="9"/>
        <v>Light User</v>
      </c>
    </row>
    <row r="592" spans="1:14" x14ac:dyDescent="0.25">
      <c r="A592">
        <v>591</v>
      </c>
      <c r="B592" t="s">
        <v>19</v>
      </c>
      <c r="C592" t="s">
        <v>12</v>
      </c>
      <c r="D592">
        <v>159</v>
      </c>
      <c r="E592">
        <v>3.7</v>
      </c>
      <c r="F592">
        <v>630</v>
      </c>
      <c r="G592">
        <v>33</v>
      </c>
      <c r="H592">
        <v>575</v>
      </c>
      <c r="I592">
        <v>30</v>
      </c>
      <c r="J592" t="str">
        <f>IF(Table2[[#This Row],[Age]]&lt;=24, "18 - 24", IF(Table2[[#This Row],[Age]]&lt;=34, "25 - 34", IF(Table2[[#This Row],[Age]]&lt;=44, "35 - 44", IF(Table2[[#This Row],[Age]]&lt;=54, "45 - 54", "55 - 59"))))</f>
        <v>25 - 34</v>
      </c>
      <c r="K592" t="str">
        <f>IF(Table2[[#This Row],[Age]]&lt;=24, "Young Adults", IF(Table2[[#This Row],[Age]]&lt;=34, "Early Career", IF(Table2[[#This Row],[Age]]&lt;=44, "Mid Career", IF(Table2[[#This Row],[Age]]&lt;=54, "Mature Adults", "Pre-retirment"))))</f>
        <v>Early Career</v>
      </c>
      <c r="L592" t="s">
        <v>13</v>
      </c>
      <c r="M592">
        <v>2</v>
      </c>
      <c r="N592" t="str">
        <f t="shared" si="9"/>
        <v>Light User</v>
      </c>
    </row>
    <row r="593" spans="1:14" x14ac:dyDescent="0.25">
      <c r="A593">
        <v>592</v>
      </c>
      <c r="B593" t="s">
        <v>11</v>
      </c>
      <c r="C593" t="s">
        <v>12</v>
      </c>
      <c r="D593">
        <v>580</v>
      </c>
      <c r="E593">
        <v>11.5</v>
      </c>
      <c r="F593">
        <v>2767</v>
      </c>
      <c r="G593">
        <v>84</v>
      </c>
      <c r="H593">
        <v>2341</v>
      </c>
      <c r="I593">
        <v>36</v>
      </c>
      <c r="J593" t="str">
        <f>IF(Table2[[#This Row],[Age]]&lt;=24, "18 - 24", IF(Table2[[#This Row],[Age]]&lt;=34, "25 - 34", IF(Table2[[#This Row],[Age]]&lt;=44, "35 - 44", IF(Table2[[#This Row],[Age]]&lt;=54, "45 - 54", "55 - 59"))))</f>
        <v>35 - 44</v>
      </c>
      <c r="K593" t="str">
        <f>IF(Table2[[#This Row],[Age]]&lt;=24, "Young Adults", IF(Table2[[#This Row],[Age]]&lt;=34, "Early Career", IF(Table2[[#This Row],[Age]]&lt;=44, "Mid Career", IF(Table2[[#This Row],[Age]]&lt;=54, "Mature Adults", "Pre-retirment"))))</f>
        <v>Mid Career</v>
      </c>
      <c r="L593" t="s">
        <v>15</v>
      </c>
      <c r="M593">
        <v>5</v>
      </c>
      <c r="N593" t="str">
        <f t="shared" si="9"/>
        <v>Heavy User</v>
      </c>
    </row>
    <row r="594" spans="1:14" x14ac:dyDescent="0.25">
      <c r="A594">
        <v>593</v>
      </c>
      <c r="B594" t="s">
        <v>19</v>
      </c>
      <c r="C594" t="s">
        <v>12</v>
      </c>
      <c r="D594">
        <v>379</v>
      </c>
      <c r="E594">
        <v>7.7</v>
      </c>
      <c r="F594">
        <v>1809</v>
      </c>
      <c r="G594">
        <v>64</v>
      </c>
      <c r="H594">
        <v>1050</v>
      </c>
      <c r="I594">
        <v>22</v>
      </c>
      <c r="J594" t="str">
        <f>IF(Table2[[#This Row],[Age]]&lt;=24, "18 - 24", IF(Table2[[#This Row],[Age]]&lt;=34, "25 - 34", IF(Table2[[#This Row],[Age]]&lt;=44, "35 - 44", IF(Table2[[#This Row],[Age]]&lt;=54, "45 - 54", "55 - 59"))))</f>
        <v>18 - 24</v>
      </c>
      <c r="K594" t="str">
        <f>IF(Table2[[#This Row],[Age]]&lt;=24, "Young Adults", IF(Table2[[#This Row],[Age]]&lt;=34, "Early Career", IF(Table2[[#This Row],[Age]]&lt;=44, "Mid Career", IF(Table2[[#This Row],[Age]]&lt;=54, "Mature Adults", "Pre-retirment"))))</f>
        <v>Young Adults</v>
      </c>
      <c r="L594" t="s">
        <v>15</v>
      </c>
      <c r="M594">
        <v>4</v>
      </c>
      <c r="N594" t="str">
        <f t="shared" si="9"/>
        <v>Heavy User</v>
      </c>
    </row>
    <row r="595" spans="1:14" x14ac:dyDescent="0.25">
      <c r="A595">
        <v>594</v>
      </c>
      <c r="B595" t="s">
        <v>19</v>
      </c>
      <c r="C595" t="s">
        <v>12</v>
      </c>
      <c r="D595">
        <v>217</v>
      </c>
      <c r="E595">
        <v>4.2</v>
      </c>
      <c r="F595">
        <v>1500</v>
      </c>
      <c r="G595">
        <v>42</v>
      </c>
      <c r="H595">
        <v>677</v>
      </c>
      <c r="I595">
        <v>26</v>
      </c>
      <c r="J595" t="str">
        <f>IF(Table2[[#This Row],[Age]]&lt;=24, "18 - 24", IF(Table2[[#This Row],[Age]]&lt;=34, "25 - 34", IF(Table2[[#This Row],[Age]]&lt;=44, "35 - 44", IF(Table2[[#This Row],[Age]]&lt;=54, "45 - 54", "55 - 59"))))</f>
        <v>25 - 34</v>
      </c>
      <c r="K595" t="str">
        <f>IF(Table2[[#This Row],[Age]]&lt;=24, "Young Adults", IF(Table2[[#This Row],[Age]]&lt;=34, "Early Career", IF(Table2[[#This Row],[Age]]&lt;=44, "Mid Career", IF(Table2[[#This Row],[Age]]&lt;=54, "Mature Adults", "Pre-retirment"))))</f>
        <v>Early Career</v>
      </c>
      <c r="L595" t="s">
        <v>15</v>
      </c>
      <c r="M595">
        <v>3</v>
      </c>
      <c r="N595" t="str">
        <f t="shared" si="9"/>
        <v>Moderate User</v>
      </c>
    </row>
    <row r="596" spans="1:14" x14ac:dyDescent="0.25">
      <c r="A596">
        <v>595</v>
      </c>
      <c r="B596" t="s">
        <v>16</v>
      </c>
      <c r="C596" t="s">
        <v>12</v>
      </c>
      <c r="D596">
        <v>447</v>
      </c>
      <c r="E596">
        <v>6.3</v>
      </c>
      <c r="F596">
        <v>1959</v>
      </c>
      <c r="G596">
        <v>63</v>
      </c>
      <c r="H596">
        <v>1441</v>
      </c>
      <c r="I596">
        <v>48</v>
      </c>
      <c r="J596" t="str">
        <f>IF(Table2[[#This Row],[Age]]&lt;=24, "18 - 24", IF(Table2[[#This Row],[Age]]&lt;=34, "25 - 34", IF(Table2[[#This Row],[Age]]&lt;=44, "35 - 44", IF(Table2[[#This Row],[Age]]&lt;=54, "45 - 54", "55 - 59"))))</f>
        <v>45 - 54</v>
      </c>
      <c r="K596" t="str">
        <f>IF(Table2[[#This Row],[Age]]&lt;=24, "Young Adults", IF(Table2[[#This Row],[Age]]&lt;=34, "Early Career", IF(Table2[[#This Row],[Age]]&lt;=44, "Mid Career", IF(Table2[[#This Row],[Age]]&lt;=54, "Mature Adults", "Pre-retirment"))))</f>
        <v>Mature Adults</v>
      </c>
      <c r="L596" t="s">
        <v>13</v>
      </c>
      <c r="M596">
        <v>4</v>
      </c>
      <c r="N596" t="str">
        <f t="shared" si="9"/>
        <v>Heavy User</v>
      </c>
    </row>
    <row r="597" spans="1:14" x14ac:dyDescent="0.25">
      <c r="A597">
        <v>596</v>
      </c>
      <c r="B597" t="s">
        <v>14</v>
      </c>
      <c r="C597" t="s">
        <v>12</v>
      </c>
      <c r="D597">
        <v>512</v>
      </c>
      <c r="E597">
        <v>10.5</v>
      </c>
      <c r="F597">
        <v>2538</v>
      </c>
      <c r="G597">
        <v>82</v>
      </c>
      <c r="H597">
        <v>1694</v>
      </c>
      <c r="I597">
        <v>41</v>
      </c>
      <c r="J597" t="str">
        <f>IF(Table2[[#This Row],[Age]]&lt;=24, "18 - 24", IF(Table2[[#This Row],[Age]]&lt;=34, "25 - 34", IF(Table2[[#This Row],[Age]]&lt;=44, "35 - 44", IF(Table2[[#This Row],[Age]]&lt;=54, "45 - 54", "55 - 59"))))</f>
        <v>35 - 44</v>
      </c>
      <c r="K597" t="str">
        <f>IF(Table2[[#This Row],[Age]]&lt;=24, "Young Adults", IF(Table2[[#This Row],[Age]]&lt;=34, "Early Career", IF(Table2[[#This Row],[Age]]&lt;=44, "Mid Career", IF(Table2[[#This Row],[Age]]&lt;=54, "Mature Adults", "Pre-retirment"))))</f>
        <v>Mid Career</v>
      </c>
      <c r="L597" t="s">
        <v>13</v>
      </c>
      <c r="M597">
        <v>5</v>
      </c>
      <c r="N597" t="str">
        <f t="shared" si="9"/>
        <v>Heavy User</v>
      </c>
    </row>
    <row r="598" spans="1:14" x14ac:dyDescent="0.25">
      <c r="A598">
        <v>597</v>
      </c>
      <c r="B598" t="s">
        <v>16</v>
      </c>
      <c r="C598" t="s">
        <v>12</v>
      </c>
      <c r="D598">
        <v>511</v>
      </c>
      <c r="E598">
        <v>10.8</v>
      </c>
      <c r="F598">
        <v>2529</v>
      </c>
      <c r="G598">
        <v>91</v>
      </c>
      <c r="H598">
        <v>2387</v>
      </c>
      <c r="I598">
        <v>21</v>
      </c>
      <c r="J598" t="str">
        <f>IF(Table2[[#This Row],[Age]]&lt;=24, "18 - 24", IF(Table2[[#This Row],[Age]]&lt;=34, "25 - 34", IF(Table2[[#This Row],[Age]]&lt;=44, "35 - 44", IF(Table2[[#This Row],[Age]]&lt;=54, "45 - 54", "55 - 59"))))</f>
        <v>18 - 24</v>
      </c>
      <c r="K598" t="str">
        <f>IF(Table2[[#This Row],[Age]]&lt;=24, "Young Adults", IF(Table2[[#This Row],[Age]]&lt;=34, "Early Career", IF(Table2[[#This Row],[Age]]&lt;=44, "Mid Career", IF(Table2[[#This Row],[Age]]&lt;=54, "Mature Adults", "Pre-retirment"))))</f>
        <v>Young Adults</v>
      </c>
      <c r="L598" t="s">
        <v>13</v>
      </c>
      <c r="M598">
        <v>5</v>
      </c>
      <c r="N598" t="str">
        <f t="shared" si="9"/>
        <v>Heavy User</v>
      </c>
    </row>
    <row r="599" spans="1:14" x14ac:dyDescent="0.25">
      <c r="A599">
        <v>598</v>
      </c>
      <c r="B599" t="s">
        <v>14</v>
      </c>
      <c r="C599" t="s">
        <v>12</v>
      </c>
      <c r="D599">
        <v>140</v>
      </c>
      <c r="E599">
        <v>2.5</v>
      </c>
      <c r="F599">
        <v>825</v>
      </c>
      <c r="G599">
        <v>31</v>
      </c>
      <c r="H599">
        <v>347</v>
      </c>
      <c r="I599">
        <v>59</v>
      </c>
      <c r="J599" t="str">
        <f>IF(Table2[[#This Row],[Age]]&lt;=24, "18 - 24", IF(Table2[[#This Row],[Age]]&lt;=34, "25 - 34", IF(Table2[[#This Row],[Age]]&lt;=44, "35 - 44", IF(Table2[[#This Row],[Age]]&lt;=54, "45 - 54", "55 - 59"))))</f>
        <v>55 - 59</v>
      </c>
      <c r="K599" t="str">
        <f>IF(Table2[[#This Row],[Age]]&lt;=24, "Young Adults", IF(Table2[[#This Row],[Age]]&lt;=34, "Early Career", IF(Table2[[#This Row],[Age]]&lt;=44, "Mid Career", IF(Table2[[#This Row],[Age]]&lt;=54, "Mature Adults", "Pre-retirment"))))</f>
        <v>Pre-retirment</v>
      </c>
      <c r="L599" t="s">
        <v>13</v>
      </c>
      <c r="M599">
        <v>2</v>
      </c>
      <c r="N599" t="str">
        <f t="shared" si="9"/>
        <v>Light User</v>
      </c>
    </row>
    <row r="600" spans="1:14" x14ac:dyDescent="0.25">
      <c r="A600">
        <v>599</v>
      </c>
      <c r="B600" t="s">
        <v>19</v>
      </c>
      <c r="C600" t="s">
        <v>12</v>
      </c>
      <c r="D600">
        <v>114</v>
      </c>
      <c r="E600">
        <v>3</v>
      </c>
      <c r="F600">
        <v>1131</v>
      </c>
      <c r="G600">
        <v>31</v>
      </c>
      <c r="H600">
        <v>596</v>
      </c>
      <c r="I600">
        <v>28</v>
      </c>
      <c r="J600" t="str">
        <f>IF(Table2[[#This Row],[Age]]&lt;=24, "18 - 24", IF(Table2[[#This Row],[Age]]&lt;=34, "25 - 34", IF(Table2[[#This Row],[Age]]&lt;=44, "35 - 44", IF(Table2[[#This Row],[Age]]&lt;=54, "45 - 54", "55 - 59"))))</f>
        <v>25 - 34</v>
      </c>
      <c r="K600" t="str">
        <f>IF(Table2[[#This Row],[Age]]&lt;=24, "Young Adults", IF(Table2[[#This Row],[Age]]&lt;=34, "Early Career", IF(Table2[[#This Row],[Age]]&lt;=44, "Mid Career", IF(Table2[[#This Row],[Age]]&lt;=54, "Mature Adults", "Pre-retirment"))))</f>
        <v>Early Career</v>
      </c>
      <c r="L600" t="s">
        <v>13</v>
      </c>
      <c r="M600">
        <v>2</v>
      </c>
      <c r="N600" t="str">
        <f t="shared" si="9"/>
        <v>Light User</v>
      </c>
    </row>
    <row r="601" spans="1:14" x14ac:dyDescent="0.25">
      <c r="A601">
        <v>600</v>
      </c>
      <c r="B601" t="s">
        <v>19</v>
      </c>
      <c r="C601" t="s">
        <v>12</v>
      </c>
      <c r="D601">
        <v>192</v>
      </c>
      <c r="E601">
        <v>4.3</v>
      </c>
      <c r="F601">
        <v>1382</v>
      </c>
      <c r="G601">
        <v>42</v>
      </c>
      <c r="H601">
        <v>905</v>
      </c>
      <c r="I601">
        <v>47</v>
      </c>
      <c r="J601" t="str">
        <f>IF(Table2[[#This Row],[Age]]&lt;=24, "18 - 24", IF(Table2[[#This Row],[Age]]&lt;=34, "25 - 34", IF(Table2[[#This Row],[Age]]&lt;=44, "35 - 44", IF(Table2[[#This Row],[Age]]&lt;=54, "45 - 54", "55 - 59"))))</f>
        <v>45 - 54</v>
      </c>
      <c r="K601" t="str">
        <f>IF(Table2[[#This Row],[Age]]&lt;=24, "Young Adults", IF(Table2[[#This Row],[Age]]&lt;=34, "Early Career", IF(Table2[[#This Row],[Age]]&lt;=44, "Mid Career", IF(Table2[[#This Row],[Age]]&lt;=54, "Mature Adults", "Pre-retirment"))))</f>
        <v>Mature Adults</v>
      </c>
      <c r="L601" t="s">
        <v>15</v>
      </c>
      <c r="M601">
        <v>3</v>
      </c>
      <c r="N601" t="str">
        <f t="shared" si="9"/>
        <v>Moderate User</v>
      </c>
    </row>
    <row r="602" spans="1:14" x14ac:dyDescent="0.25">
      <c r="A602">
        <v>601</v>
      </c>
      <c r="B602" t="s">
        <v>17</v>
      </c>
      <c r="C602" t="s">
        <v>18</v>
      </c>
      <c r="D602">
        <v>325</v>
      </c>
      <c r="E602">
        <v>6</v>
      </c>
      <c r="F602">
        <v>2244</v>
      </c>
      <c r="G602">
        <v>70</v>
      </c>
      <c r="H602">
        <v>1296</v>
      </c>
      <c r="I602">
        <v>30</v>
      </c>
      <c r="J602" t="str">
        <f>IF(Table2[[#This Row],[Age]]&lt;=24, "18 - 24", IF(Table2[[#This Row],[Age]]&lt;=34, "25 - 34", IF(Table2[[#This Row],[Age]]&lt;=44, "35 - 44", IF(Table2[[#This Row],[Age]]&lt;=54, "45 - 54", "55 - 59"))))</f>
        <v>25 - 34</v>
      </c>
      <c r="K602" t="str">
        <f>IF(Table2[[#This Row],[Age]]&lt;=24, "Young Adults", IF(Table2[[#This Row],[Age]]&lt;=34, "Early Career", IF(Table2[[#This Row],[Age]]&lt;=44, "Mid Career", IF(Table2[[#This Row],[Age]]&lt;=54, "Mature Adults", "Pre-retirment"))))</f>
        <v>Early Career</v>
      </c>
      <c r="L602" t="s">
        <v>15</v>
      </c>
      <c r="M602">
        <v>4</v>
      </c>
      <c r="N602" t="str">
        <f t="shared" si="9"/>
        <v>Heavy User</v>
      </c>
    </row>
    <row r="603" spans="1:14" x14ac:dyDescent="0.25">
      <c r="A603">
        <v>602</v>
      </c>
      <c r="B603" t="s">
        <v>14</v>
      </c>
      <c r="C603" t="s">
        <v>12</v>
      </c>
      <c r="D603">
        <v>83</v>
      </c>
      <c r="E603">
        <v>1.2</v>
      </c>
      <c r="F603">
        <v>545</v>
      </c>
      <c r="G603">
        <v>15</v>
      </c>
      <c r="H603">
        <v>284</v>
      </c>
      <c r="I603">
        <v>44</v>
      </c>
      <c r="J603" t="str">
        <f>IF(Table2[[#This Row],[Age]]&lt;=24, "18 - 24", IF(Table2[[#This Row],[Age]]&lt;=34, "25 - 34", IF(Table2[[#This Row],[Age]]&lt;=44, "35 - 44", IF(Table2[[#This Row],[Age]]&lt;=54, "45 - 54", "55 - 59"))))</f>
        <v>35 - 44</v>
      </c>
      <c r="K603" t="str">
        <f>IF(Table2[[#This Row],[Age]]&lt;=24, "Young Adults", IF(Table2[[#This Row],[Age]]&lt;=34, "Early Career", IF(Table2[[#This Row],[Age]]&lt;=44, "Mid Career", IF(Table2[[#This Row],[Age]]&lt;=54, "Mature Adults", "Pre-retirment"))))</f>
        <v>Mid Career</v>
      </c>
      <c r="L603" t="s">
        <v>13</v>
      </c>
      <c r="M603">
        <v>1</v>
      </c>
      <c r="N603" t="str">
        <f t="shared" si="9"/>
        <v>Light User</v>
      </c>
    </row>
    <row r="604" spans="1:14" x14ac:dyDescent="0.25">
      <c r="A604">
        <v>603</v>
      </c>
      <c r="B604" t="s">
        <v>14</v>
      </c>
      <c r="C604" t="s">
        <v>12</v>
      </c>
      <c r="D604">
        <v>122</v>
      </c>
      <c r="E604">
        <v>3</v>
      </c>
      <c r="F604">
        <v>922</v>
      </c>
      <c r="G604">
        <v>32</v>
      </c>
      <c r="H604">
        <v>373</v>
      </c>
      <c r="I604">
        <v>43</v>
      </c>
      <c r="J604" t="str">
        <f>IF(Table2[[#This Row],[Age]]&lt;=24, "18 - 24", IF(Table2[[#This Row],[Age]]&lt;=34, "25 - 34", IF(Table2[[#This Row],[Age]]&lt;=44, "35 - 44", IF(Table2[[#This Row],[Age]]&lt;=54, "45 - 54", "55 - 59"))))</f>
        <v>35 - 44</v>
      </c>
      <c r="K604" t="str">
        <f>IF(Table2[[#This Row],[Age]]&lt;=24, "Young Adults", IF(Table2[[#This Row],[Age]]&lt;=34, "Early Career", IF(Table2[[#This Row],[Age]]&lt;=44, "Mid Career", IF(Table2[[#This Row],[Age]]&lt;=54, "Mature Adults", "Pre-retirment"))))</f>
        <v>Mid Career</v>
      </c>
      <c r="L604" t="s">
        <v>13</v>
      </c>
      <c r="M604">
        <v>2</v>
      </c>
      <c r="N604" t="str">
        <f t="shared" si="9"/>
        <v>Light User</v>
      </c>
    </row>
    <row r="605" spans="1:14" x14ac:dyDescent="0.25">
      <c r="A605">
        <v>604</v>
      </c>
      <c r="B605" t="s">
        <v>14</v>
      </c>
      <c r="C605" t="s">
        <v>12</v>
      </c>
      <c r="D605">
        <v>138</v>
      </c>
      <c r="E605">
        <v>2.1</v>
      </c>
      <c r="F605">
        <v>660</v>
      </c>
      <c r="G605">
        <v>22</v>
      </c>
      <c r="H605">
        <v>424</v>
      </c>
      <c r="I605">
        <v>41</v>
      </c>
      <c r="J605" t="str">
        <f>IF(Table2[[#This Row],[Age]]&lt;=24, "18 - 24", IF(Table2[[#This Row],[Age]]&lt;=34, "25 - 34", IF(Table2[[#This Row],[Age]]&lt;=44, "35 - 44", IF(Table2[[#This Row],[Age]]&lt;=54, "45 - 54", "55 - 59"))))</f>
        <v>35 - 44</v>
      </c>
      <c r="K605" t="str">
        <f>IF(Table2[[#This Row],[Age]]&lt;=24, "Young Adults", IF(Table2[[#This Row],[Age]]&lt;=34, "Early Career", IF(Table2[[#This Row],[Age]]&lt;=44, "Mid Career", IF(Table2[[#This Row],[Age]]&lt;=54, "Mature Adults", "Pre-retirment"))))</f>
        <v>Mid Career</v>
      </c>
      <c r="L605" t="s">
        <v>15</v>
      </c>
      <c r="M605">
        <v>2</v>
      </c>
      <c r="N605" t="str">
        <f t="shared" si="9"/>
        <v>Light User</v>
      </c>
    </row>
    <row r="606" spans="1:14" x14ac:dyDescent="0.25">
      <c r="A606">
        <v>605</v>
      </c>
      <c r="B606" t="s">
        <v>14</v>
      </c>
      <c r="C606" t="s">
        <v>12</v>
      </c>
      <c r="D606">
        <v>182</v>
      </c>
      <c r="E606">
        <v>5.3</v>
      </c>
      <c r="F606">
        <v>1278</v>
      </c>
      <c r="G606">
        <v>42</v>
      </c>
      <c r="H606">
        <v>885</v>
      </c>
      <c r="I606">
        <v>54</v>
      </c>
      <c r="J606" t="str">
        <f>IF(Table2[[#This Row],[Age]]&lt;=24, "18 - 24", IF(Table2[[#This Row],[Age]]&lt;=34, "25 - 34", IF(Table2[[#This Row],[Age]]&lt;=44, "35 - 44", IF(Table2[[#This Row],[Age]]&lt;=54, "45 - 54", "55 - 59"))))</f>
        <v>45 - 54</v>
      </c>
      <c r="K606" t="str">
        <f>IF(Table2[[#This Row],[Age]]&lt;=24, "Young Adults", IF(Table2[[#This Row],[Age]]&lt;=34, "Early Career", IF(Table2[[#This Row],[Age]]&lt;=44, "Mid Career", IF(Table2[[#This Row],[Age]]&lt;=54, "Mature Adults", "Pre-retirment"))))</f>
        <v>Mature Adults</v>
      </c>
      <c r="L606" t="s">
        <v>15</v>
      </c>
      <c r="M606">
        <v>3</v>
      </c>
      <c r="N606" t="str">
        <f t="shared" si="9"/>
        <v>Moderate User</v>
      </c>
    </row>
    <row r="607" spans="1:14" x14ac:dyDescent="0.25">
      <c r="A607">
        <v>606</v>
      </c>
      <c r="B607" t="s">
        <v>14</v>
      </c>
      <c r="C607" t="s">
        <v>12</v>
      </c>
      <c r="D607">
        <v>425</v>
      </c>
      <c r="E607">
        <v>6</v>
      </c>
      <c r="F607">
        <v>1928</v>
      </c>
      <c r="G607">
        <v>72</v>
      </c>
      <c r="H607">
        <v>1150</v>
      </c>
      <c r="I607">
        <v>53</v>
      </c>
      <c r="J607" t="str">
        <f>IF(Table2[[#This Row],[Age]]&lt;=24, "18 - 24", IF(Table2[[#This Row],[Age]]&lt;=34, "25 - 34", IF(Table2[[#This Row],[Age]]&lt;=44, "35 - 44", IF(Table2[[#This Row],[Age]]&lt;=54, "45 - 54", "55 - 59"))))</f>
        <v>45 - 54</v>
      </c>
      <c r="K607" t="str">
        <f>IF(Table2[[#This Row],[Age]]&lt;=24, "Young Adults", IF(Table2[[#This Row],[Age]]&lt;=34, "Early Career", IF(Table2[[#This Row],[Age]]&lt;=44, "Mid Career", IF(Table2[[#This Row],[Age]]&lt;=54, "Mature Adults", "Pre-retirment"))))</f>
        <v>Mature Adults</v>
      </c>
      <c r="L607" t="s">
        <v>15</v>
      </c>
      <c r="M607">
        <v>4</v>
      </c>
      <c r="N607" t="str">
        <f t="shared" si="9"/>
        <v>Heavy User</v>
      </c>
    </row>
    <row r="608" spans="1:14" x14ac:dyDescent="0.25">
      <c r="A608">
        <v>607</v>
      </c>
      <c r="B608" t="s">
        <v>14</v>
      </c>
      <c r="C608" t="s">
        <v>12</v>
      </c>
      <c r="D608">
        <v>580</v>
      </c>
      <c r="E608">
        <v>10.4</v>
      </c>
      <c r="F608">
        <v>2496</v>
      </c>
      <c r="G608">
        <v>81</v>
      </c>
      <c r="H608">
        <v>2441</v>
      </c>
      <c r="I608">
        <v>37</v>
      </c>
      <c r="J608" t="str">
        <f>IF(Table2[[#This Row],[Age]]&lt;=24, "18 - 24", IF(Table2[[#This Row],[Age]]&lt;=34, "25 - 34", IF(Table2[[#This Row],[Age]]&lt;=44, "35 - 44", IF(Table2[[#This Row],[Age]]&lt;=54, "45 - 54", "55 - 59"))))</f>
        <v>35 - 44</v>
      </c>
      <c r="K608" t="str">
        <f>IF(Table2[[#This Row],[Age]]&lt;=24, "Young Adults", IF(Table2[[#This Row],[Age]]&lt;=34, "Early Career", IF(Table2[[#This Row],[Age]]&lt;=44, "Mid Career", IF(Table2[[#This Row],[Age]]&lt;=54, "Mature Adults", "Pre-retirment"))))</f>
        <v>Mid Career</v>
      </c>
      <c r="L608" t="s">
        <v>15</v>
      </c>
      <c r="M608">
        <v>5</v>
      </c>
      <c r="N608" t="str">
        <f t="shared" si="9"/>
        <v>Heavy User</v>
      </c>
    </row>
    <row r="609" spans="1:14" x14ac:dyDescent="0.25">
      <c r="A609">
        <v>608</v>
      </c>
      <c r="B609" t="s">
        <v>16</v>
      </c>
      <c r="C609" t="s">
        <v>12</v>
      </c>
      <c r="D609">
        <v>203</v>
      </c>
      <c r="E609">
        <v>4</v>
      </c>
      <c r="F609">
        <v>1323</v>
      </c>
      <c r="G609">
        <v>56</v>
      </c>
      <c r="H609">
        <v>787</v>
      </c>
      <c r="I609">
        <v>21</v>
      </c>
      <c r="J609" t="str">
        <f>IF(Table2[[#This Row],[Age]]&lt;=24, "18 - 24", IF(Table2[[#This Row],[Age]]&lt;=34, "25 - 34", IF(Table2[[#This Row],[Age]]&lt;=44, "35 - 44", IF(Table2[[#This Row],[Age]]&lt;=54, "45 - 54", "55 - 59"))))</f>
        <v>18 - 24</v>
      </c>
      <c r="K609" t="str">
        <f>IF(Table2[[#This Row],[Age]]&lt;=24, "Young Adults", IF(Table2[[#This Row],[Age]]&lt;=34, "Early Career", IF(Table2[[#This Row],[Age]]&lt;=44, "Mid Career", IF(Table2[[#This Row],[Age]]&lt;=54, "Mature Adults", "Pre-retirment"))))</f>
        <v>Young Adults</v>
      </c>
      <c r="L609" t="s">
        <v>13</v>
      </c>
      <c r="M609">
        <v>3</v>
      </c>
      <c r="N609" t="str">
        <f t="shared" si="9"/>
        <v>Moderate User</v>
      </c>
    </row>
    <row r="610" spans="1:14" x14ac:dyDescent="0.25">
      <c r="A610">
        <v>609</v>
      </c>
      <c r="B610" t="s">
        <v>16</v>
      </c>
      <c r="C610" t="s">
        <v>12</v>
      </c>
      <c r="D610">
        <v>258</v>
      </c>
      <c r="E610">
        <v>4.9000000000000004</v>
      </c>
      <c r="F610">
        <v>1596</v>
      </c>
      <c r="G610">
        <v>56</v>
      </c>
      <c r="H610">
        <v>937</v>
      </c>
      <c r="I610">
        <v>40</v>
      </c>
      <c r="J610" t="str">
        <f>IF(Table2[[#This Row],[Age]]&lt;=24, "18 - 24", IF(Table2[[#This Row],[Age]]&lt;=34, "25 - 34", IF(Table2[[#This Row],[Age]]&lt;=44, "35 - 44", IF(Table2[[#This Row],[Age]]&lt;=54, "45 - 54", "55 - 59"))))</f>
        <v>35 - 44</v>
      </c>
      <c r="K610" t="str">
        <f>IF(Table2[[#This Row],[Age]]&lt;=24, "Young Adults", IF(Table2[[#This Row],[Age]]&lt;=34, "Early Career", IF(Table2[[#This Row],[Age]]&lt;=44, "Mid Career", IF(Table2[[#This Row],[Age]]&lt;=54, "Mature Adults", "Pre-retirment"))))</f>
        <v>Mid Career</v>
      </c>
      <c r="L610" t="s">
        <v>15</v>
      </c>
      <c r="M610">
        <v>3</v>
      </c>
      <c r="N610" t="str">
        <f t="shared" si="9"/>
        <v>Moderate User</v>
      </c>
    </row>
    <row r="611" spans="1:14" x14ac:dyDescent="0.25">
      <c r="A611">
        <v>610</v>
      </c>
      <c r="B611" t="s">
        <v>17</v>
      </c>
      <c r="C611" t="s">
        <v>18</v>
      </c>
      <c r="D611">
        <v>551</v>
      </c>
      <c r="E611">
        <v>8.5</v>
      </c>
      <c r="F611">
        <v>2927</v>
      </c>
      <c r="G611">
        <v>92</v>
      </c>
      <c r="H611">
        <v>1901</v>
      </c>
      <c r="I611">
        <v>51</v>
      </c>
      <c r="J611" t="str">
        <f>IF(Table2[[#This Row],[Age]]&lt;=24, "18 - 24", IF(Table2[[#This Row],[Age]]&lt;=34, "25 - 34", IF(Table2[[#This Row],[Age]]&lt;=44, "35 - 44", IF(Table2[[#This Row],[Age]]&lt;=54, "45 - 54", "55 - 59"))))</f>
        <v>45 - 54</v>
      </c>
      <c r="K611" t="str">
        <f>IF(Table2[[#This Row],[Age]]&lt;=24, "Young Adults", IF(Table2[[#This Row],[Age]]&lt;=34, "Early Career", IF(Table2[[#This Row],[Age]]&lt;=44, "Mid Career", IF(Table2[[#This Row],[Age]]&lt;=54, "Mature Adults", "Pre-retirment"))))</f>
        <v>Mature Adults</v>
      </c>
      <c r="L611" t="s">
        <v>13</v>
      </c>
      <c r="M611">
        <v>5</v>
      </c>
      <c r="N611" t="str">
        <f t="shared" si="9"/>
        <v>Heavy User</v>
      </c>
    </row>
    <row r="612" spans="1:14" x14ac:dyDescent="0.25">
      <c r="A612">
        <v>611</v>
      </c>
      <c r="B612" t="s">
        <v>17</v>
      </c>
      <c r="C612" t="s">
        <v>18</v>
      </c>
      <c r="D612">
        <v>507</v>
      </c>
      <c r="E612">
        <v>9.6</v>
      </c>
      <c r="F612">
        <v>2606</v>
      </c>
      <c r="G612">
        <v>95</v>
      </c>
      <c r="H612">
        <v>1543</v>
      </c>
      <c r="I612">
        <v>48</v>
      </c>
      <c r="J612" t="str">
        <f>IF(Table2[[#This Row],[Age]]&lt;=24, "18 - 24", IF(Table2[[#This Row],[Age]]&lt;=34, "25 - 34", IF(Table2[[#This Row],[Age]]&lt;=44, "35 - 44", IF(Table2[[#This Row],[Age]]&lt;=54, "45 - 54", "55 - 59"))))</f>
        <v>45 - 54</v>
      </c>
      <c r="K612" t="str">
        <f>IF(Table2[[#This Row],[Age]]&lt;=24, "Young Adults", IF(Table2[[#This Row],[Age]]&lt;=34, "Early Career", IF(Table2[[#This Row],[Age]]&lt;=44, "Mid Career", IF(Table2[[#This Row],[Age]]&lt;=54, "Mature Adults", "Pre-retirment"))))</f>
        <v>Mature Adults</v>
      </c>
      <c r="L612" t="s">
        <v>13</v>
      </c>
      <c r="M612">
        <v>5</v>
      </c>
      <c r="N612" t="str">
        <f t="shared" si="9"/>
        <v>Heavy User</v>
      </c>
    </row>
    <row r="613" spans="1:14" x14ac:dyDescent="0.25">
      <c r="A613">
        <v>612</v>
      </c>
      <c r="B613" t="s">
        <v>16</v>
      </c>
      <c r="C613" t="s">
        <v>12</v>
      </c>
      <c r="D613">
        <v>57</v>
      </c>
      <c r="E613">
        <v>1.3</v>
      </c>
      <c r="F613">
        <v>489</v>
      </c>
      <c r="G613">
        <v>16</v>
      </c>
      <c r="H613">
        <v>131</v>
      </c>
      <c r="I613">
        <v>37</v>
      </c>
      <c r="J613" t="str">
        <f>IF(Table2[[#This Row],[Age]]&lt;=24, "18 - 24", IF(Table2[[#This Row],[Age]]&lt;=34, "25 - 34", IF(Table2[[#This Row],[Age]]&lt;=44, "35 - 44", IF(Table2[[#This Row],[Age]]&lt;=54, "45 - 54", "55 - 59"))))</f>
        <v>35 - 44</v>
      </c>
      <c r="K613" t="str">
        <f>IF(Table2[[#This Row],[Age]]&lt;=24, "Young Adults", IF(Table2[[#This Row],[Age]]&lt;=34, "Early Career", IF(Table2[[#This Row],[Age]]&lt;=44, "Mid Career", IF(Table2[[#This Row],[Age]]&lt;=54, "Mature Adults", "Pre-retirment"))))</f>
        <v>Mid Career</v>
      </c>
      <c r="L613" t="s">
        <v>13</v>
      </c>
      <c r="M613">
        <v>1</v>
      </c>
      <c r="N613" t="str">
        <f t="shared" si="9"/>
        <v>Light User</v>
      </c>
    </row>
    <row r="614" spans="1:14" x14ac:dyDescent="0.25">
      <c r="A614">
        <v>613</v>
      </c>
      <c r="B614" t="s">
        <v>16</v>
      </c>
      <c r="C614" t="s">
        <v>12</v>
      </c>
      <c r="D614">
        <v>553</v>
      </c>
      <c r="E614">
        <v>10.199999999999999</v>
      </c>
      <c r="F614">
        <v>2911</v>
      </c>
      <c r="G614">
        <v>82</v>
      </c>
      <c r="H614">
        <v>2441</v>
      </c>
      <c r="I614">
        <v>44</v>
      </c>
      <c r="J614" t="str">
        <f>IF(Table2[[#This Row],[Age]]&lt;=24, "18 - 24", IF(Table2[[#This Row],[Age]]&lt;=34, "25 - 34", IF(Table2[[#This Row],[Age]]&lt;=44, "35 - 44", IF(Table2[[#This Row],[Age]]&lt;=54, "45 - 54", "55 - 59"))))</f>
        <v>35 - 44</v>
      </c>
      <c r="K614" t="str">
        <f>IF(Table2[[#This Row],[Age]]&lt;=24, "Young Adults", IF(Table2[[#This Row],[Age]]&lt;=34, "Early Career", IF(Table2[[#This Row],[Age]]&lt;=44, "Mid Career", IF(Table2[[#This Row],[Age]]&lt;=54, "Mature Adults", "Pre-retirment"))))</f>
        <v>Mid Career</v>
      </c>
      <c r="L614" t="s">
        <v>13</v>
      </c>
      <c r="M614">
        <v>5</v>
      </c>
      <c r="N614" t="str">
        <f t="shared" si="9"/>
        <v>Heavy User</v>
      </c>
    </row>
    <row r="615" spans="1:14" x14ac:dyDescent="0.25">
      <c r="A615">
        <v>614</v>
      </c>
      <c r="B615" t="s">
        <v>11</v>
      </c>
      <c r="C615" t="s">
        <v>12</v>
      </c>
      <c r="D615">
        <v>49</v>
      </c>
      <c r="E615">
        <v>1.1000000000000001</v>
      </c>
      <c r="F615">
        <v>395</v>
      </c>
      <c r="G615">
        <v>16</v>
      </c>
      <c r="H615">
        <v>153</v>
      </c>
      <c r="I615">
        <v>46</v>
      </c>
      <c r="J615" t="str">
        <f>IF(Table2[[#This Row],[Age]]&lt;=24, "18 - 24", IF(Table2[[#This Row],[Age]]&lt;=34, "25 - 34", IF(Table2[[#This Row],[Age]]&lt;=44, "35 - 44", IF(Table2[[#This Row],[Age]]&lt;=54, "45 - 54", "55 - 59"))))</f>
        <v>45 - 54</v>
      </c>
      <c r="K615" t="str">
        <f>IF(Table2[[#This Row],[Age]]&lt;=24, "Young Adults", IF(Table2[[#This Row],[Age]]&lt;=34, "Early Career", IF(Table2[[#This Row],[Age]]&lt;=44, "Mid Career", IF(Table2[[#This Row],[Age]]&lt;=54, "Mature Adults", "Pre-retirment"))))</f>
        <v>Mature Adults</v>
      </c>
      <c r="L615" t="s">
        <v>15</v>
      </c>
      <c r="M615">
        <v>1</v>
      </c>
      <c r="N615" t="str">
        <f t="shared" si="9"/>
        <v>Light User</v>
      </c>
    </row>
    <row r="616" spans="1:14" x14ac:dyDescent="0.25">
      <c r="A616">
        <v>615</v>
      </c>
      <c r="B616" t="s">
        <v>19</v>
      </c>
      <c r="C616" t="s">
        <v>12</v>
      </c>
      <c r="D616">
        <v>106</v>
      </c>
      <c r="E616">
        <v>4</v>
      </c>
      <c r="F616">
        <v>1158</v>
      </c>
      <c r="G616">
        <v>23</v>
      </c>
      <c r="H616">
        <v>493</v>
      </c>
      <c r="I616">
        <v>18</v>
      </c>
      <c r="J616" t="str">
        <f>IF(Table2[[#This Row],[Age]]&lt;=24, "18 - 24", IF(Table2[[#This Row],[Age]]&lt;=34, "25 - 34", IF(Table2[[#This Row],[Age]]&lt;=44, "35 - 44", IF(Table2[[#This Row],[Age]]&lt;=54, "45 - 54", "55 - 59"))))</f>
        <v>18 - 24</v>
      </c>
      <c r="K616" t="str">
        <f>IF(Table2[[#This Row],[Age]]&lt;=24, "Young Adults", IF(Table2[[#This Row],[Age]]&lt;=34, "Early Career", IF(Table2[[#This Row],[Age]]&lt;=44, "Mid Career", IF(Table2[[#This Row],[Age]]&lt;=54, "Mature Adults", "Pre-retirment"))))</f>
        <v>Young Adults</v>
      </c>
      <c r="L616" t="s">
        <v>13</v>
      </c>
      <c r="M616">
        <v>2</v>
      </c>
      <c r="N616" t="str">
        <f t="shared" si="9"/>
        <v>Light User</v>
      </c>
    </row>
    <row r="617" spans="1:14" x14ac:dyDescent="0.25">
      <c r="A617">
        <v>616</v>
      </c>
      <c r="B617" t="s">
        <v>11</v>
      </c>
      <c r="C617" t="s">
        <v>12</v>
      </c>
      <c r="D617">
        <v>119</v>
      </c>
      <c r="E617">
        <v>3.7</v>
      </c>
      <c r="F617">
        <v>608</v>
      </c>
      <c r="G617">
        <v>36</v>
      </c>
      <c r="H617">
        <v>461</v>
      </c>
      <c r="I617">
        <v>52</v>
      </c>
      <c r="J617" t="str">
        <f>IF(Table2[[#This Row],[Age]]&lt;=24, "18 - 24", IF(Table2[[#This Row],[Age]]&lt;=34, "25 - 34", IF(Table2[[#This Row],[Age]]&lt;=44, "35 - 44", IF(Table2[[#This Row],[Age]]&lt;=54, "45 - 54", "55 - 59"))))</f>
        <v>45 - 54</v>
      </c>
      <c r="K617" t="str">
        <f>IF(Table2[[#This Row],[Age]]&lt;=24, "Young Adults", IF(Table2[[#This Row],[Age]]&lt;=34, "Early Career", IF(Table2[[#This Row],[Age]]&lt;=44, "Mid Career", IF(Table2[[#This Row],[Age]]&lt;=54, "Mature Adults", "Pre-retirment"))))</f>
        <v>Mature Adults</v>
      </c>
      <c r="L617" t="s">
        <v>13</v>
      </c>
      <c r="M617">
        <v>2</v>
      </c>
      <c r="N617" t="str">
        <f t="shared" si="9"/>
        <v>Light User</v>
      </c>
    </row>
    <row r="618" spans="1:14" x14ac:dyDescent="0.25">
      <c r="A618">
        <v>617</v>
      </c>
      <c r="B618" t="s">
        <v>14</v>
      </c>
      <c r="C618" t="s">
        <v>12</v>
      </c>
      <c r="D618">
        <v>288</v>
      </c>
      <c r="E618">
        <v>5.4</v>
      </c>
      <c r="F618">
        <v>1476</v>
      </c>
      <c r="G618">
        <v>49</v>
      </c>
      <c r="H618">
        <v>767</v>
      </c>
      <c r="I618">
        <v>36</v>
      </c>
      <c r="J618" t="str">
        <f>IF(Table2[[#This Row],[Age]]&lt;=24, "18 - 24", IF(Table2[[#This Row],[Age]]&lt;=34, "25 - 34", IF(Table2[[#This Row],[Age]]&lt;=44, "35 - 44", IF(Table2[[#This Row],[Age]]&lt;=54, "45 - 54", "55 - 59"))))</f>
        <v>35 - 44</v>
      </c>
      <c r="K618" t="str">
        <f>IF(Table2[[#This Row],[Age]]&lt;=24, "Young Adults", IF(Table2[[#This Row],[Age]]&lt;=34, "Early Career", IF(Table2[[#This Row],[Age]]&lt;=44, "Mid Career", IF(Table2[[#This Row],[Age]]&lt;=54, "Mature Adults", "Pre-retirment"))))</f>
        <v>Mid Career</v>
      </c>
      <c r="L618" t="s">
        <v>15</v>
      </c>
      <c r="M618">
        <v>3</v>
      </c>
      <c r="N618" t="str">
        <f t="shared" si="9"/>
        <v>Moderate User</v>
      </c>
    </row>
    <row r="619" spans="1:14" x14ac:dyDescent="0.25">
      <c r="A619">
        <v>618</v>
      </c>
      <c r="B619" t="s">
        <v>11</v>
      </c>
      <c r="C619" t="s">
        <v>12</v>
      </c>
      <c r="D619">
        <v>225</v>
      </c>
      <c r="E619">
        <v>5.6</v>
      </c>
      <c r="F619">
        <v>1388</v>
      </c>
      <c r="G619">
        <v>55</v>
      </c>
      <c r="H619">
        <v>965</v>
      </c>
      <c r="I619">
        <v>36</v>
      </c>
      <c r="J619" t="str">
        <f>IF(Table2[[#This Row],[Age]]&lt;=24, "18 - 24", IF(Table2[[#This Row],[Age]]&lt;=34, "25 - 34", IF(Table2[[#This Row],[Age]]&lt;=44, "35 - 44", IF(Table2[[#This Row],[Age]]&lt;=54, "45 - 54", "55 - 59"))))</f>
        <v>35 - 44</v>
      </c>
      <c r="K619" t="str">
        <f>IF(Table2[[#This Row],[Age]]&lt;=24, "Young Adults", IF(Table2[[#This Row],[Age]]&lt;=34, "Early Career", IF(Table2[[#This Row],[Age]]&lt;=44, "Mid Career", IF(Table2[[#This Row],[Age]]&lt;=54, "Mature Adults", "Pre-retirment"))))</f>
        <v>Mid Career</v>
      </c>
      <c r="L619" t="s">
        <v>15</v>
      </c>
      <c r="M619">
        <v>3</v>
      </c>
      <c r="N619" t="str">
        <f t="shared" si="9"/>
        <v>Moderate User</v>
      </c>
    </row>
    <row r="620" spans="1:14" x14ac:dyDescent="0.25">
      <c r="A620">
        <v>619</v>
      </c>
      <c r="B620" t="s">
        <v>14</v>
      </c>
      <c r="C620" t="s">
        <v>12</v>
      </c>
      <c r="D620">
        <v>342</v>
      </c>
      <c r="E620">
        <v>7</v>
      </c>
      <c r="F620">
        <v>1826</v>
      </c>
      <c r="G620">
        <v>71</v>
      </c>
      <c r="H620">
        <v>1077</v>
      </c>
      <c r="I620">
        <v>26</v>
      </c>
      <c r="J620" t="str">
        <f>IF(Table2[[#This Row],[Age]]&lt;=24, "18 - 24", IF(Table2[[#This Row],[Age]]&lt;=34, "25 - 34", IF(Table2[[#This Row],[Age]]&lt;=44, "35 - 44", IF(Table2[[#This Row],[Age]]&lt;=54, "45 - 54", "55 - 59"))))</f>
        <v>25 - 34</v>
      </c>
      <c r="K620" t="str">
        <f>IF(Table2[[#This Row],[Age]]&lt;=24, "Young Adults", IF(Table2[[#This Row],[Age]]&lt;=34, "Early Career", IF(Table2[[#This Row],[Age]]&lt;=44, "Mid Career", IF(Table2[[#This Row],[Age]]&lt;=54, "Mature Adults", "Pre-retirment"))))</f>
        <v>Early Career</v>
      </c>
      <c r="L620" t="s">
        <v>15</v>
      </c>
      <c r="M620">
        <v>4</v>
      </c>
      <c r="N620" t="str">
        <f t="shared" si="9"/>
        <v>Heavy User</v>
      </c>
    </row>
    <row r="621" spans="1:14" x14ac:dyDescent="0.25">
      <c r="A621">
        <v>620</v>
      </c>
      <c r="B621" t="s">
        <v>19</v>
      </c>
      <c r="C621" t="s">
        <v>12</v>
      </c>
      <c r="D621">
        <v>292</v>
      </c>
      <c r="E621">
        <v>4.2</v>
      </c>
      <c r="F621">
        <v>1407</v>
      </c>
      <c r="G621">
        <v>54</v>
      </c>
      <c r="H621">
        <v>867</v>
      </c>
      <c r="I621">
        <v>59</v>
      </c>
      <c r="J621" t="str">
        <f>IF(Table2[[#This Row],[Age]]&lt;=24, "18 - 24", IF(Table2[[#This Row],[Age]]&lt;=34, "25 - 34", IF(Table2[[#This Row],[Age]]&lt;=44, "35 - 44", IF(Table2[[#This Row],[Age]]&lt;=54, "45 - 54", "55 - 59"))))</f>
        <v>55 - 59</v>
      </c>
      <c r="K621" t="str">
        <f>IF(Table2[[#This Row],[Age]]&lt;=24, "Young Adults", IF(Table2[[#This Row],[Age]]&lt;=34, "Early Career", IF(Table2[[#This Row],[Age]]&lt;=44, "Mid Career", IF(Table2[[#This Row],[Age]]&lt;=54, "Mature Adults", "Pre-retirment"))))</f>
        <v>Pre-retirment</v>
      </c>
      <c r="L621" t="s">
        <v>13</v>
      </c>
      <c r="M621">
        <v>3</v>
      </c>
      <c r="N621" t="str">
        <f t="shared" si="9"/>
        <v>Moderate User</v>
      </c>
    </row>
    <row r="622" spans="1:14" x14ac:dyDescent="0.25">
      <c r="A622">
        <v>621</v>
      </c>
      <c r="B622" t="s">
        <v>17</v>
      </c>
      <c r="C622" t="s">
        <v>18</v>
      </c>
      <c r="D622">
        <v>218</v>
      </c>
      <c r="E622">
        <v>5</v>
      </c>
      <c r="F622">
        <v>1475</v>
      </c>
      <c r="G622">
        <v>46</v>
      </c>
      <c r="H622">
        <v>972</v>
      </c>
      <c r="I622">
        <v>59</v>
      </c>
      <c r="J622" t="str">
        <f>IF(Table2[[#This Row],[Age]]&lt;=24, "18 - 24", IF(Table2[[#This Row],[Age]]&lt;=34, "25 - 34", IF(Table2[[#This Row],[Age]]&lt;=44, "35 - 44", IF(Table2[[#This Row],[Age]]&lt;=54, "45 - 54", "55 - 59"))))</f>
        <v>55 - 59</v>
      </c>
      <c r="K622" t="str">
        <f>IF(Table2[[#This Row],[Age]]&lt;=24, "Young Adults", IF(Table2[[#This Row],[Age]]&lt;=34, "Early Career", IF(Table2[[#This Row],[Age]]&lt;=44, "Mid Career", IF(Table2[[#This Row],[Age]]&lt;=54, "Mature Adults", "Pre-retirment"))))</f>
        <v>Pre-retirment</v>
      </c>
      <c r="L622" t="s">
        <v>15</v>
      </c>
      <c r="M622">
        <v>3</v>
      </c>
      <c r="N622" t="str">
        <f t="shared" si="9"/>
        <v>Moderate User</v>
      </c>
    </row>
    <row r="623" spans="1:14" x14ac:dyDescent="0.25">
      <c r="A623">
        <v>622</v>
      </c>
      <c r="B623" t="s">
        <v>11</v>
      </c>
      <c r="C623" t="s">
        <v>12</v>
      </c>
      <c r="D623">
        <v>64</v>
      </c>
      <c r="E623">
        <v>1.8</v>
      </c>
      <c r="F623">
        <v>351</v>
      </c>
      <c r="G623">
        <v>15</v>
      </c>
      <c r="H623">
        <v>274</v>
      </c>
      <c r="I623">
        <v>56</v>
      </c>
      <c r="J623" t="str">
        <f>IF(Table2[[#This Row],[Age]]&lt;=24, "18 - 24", IF(Table2[[#This Row],[Age]]&lt;=34, "25 - 34", IF(Table2[[#This Row],[Age]]&lt;=44, "35 - 44", IF(Table2[[#This Row],[Age]]&lt;=54, "45 - 54", "55 - 59"))))</f>
        <v>55 - 59</v>
      </c>
      <c r="K623" t="str">
        <f>IF(Table2[[#This Row],[Age]]&lt;=24, "Young Adults", IF(Table2[[#This Row],[Age]]&lt;=34, "Early Career", IF(Table2[[#This Row],[Age]]&lt;=44, "Mid Career", IF(Table2[[#This Row],[Age]]&lt;=54, "Mature Adults", "Pre-retirment"))))</f>
        <v>Pre-retirment</v>
      </c>
      <c r="L623" t="s">
        <v>13</v>
      </c>
      <c r="M623">
        <v>1</v>
      </c>
      <c r="N623" t="str">
        <f t="shared" si="9"/>
        <v>Light User</v>
      </c>
    </row>
    <row r="624" spans="1:14" x14ac:dyDescent="0.25">
      <c r="A624">
        <v>623</v>
      </c>
      <c r="B624" t="s">
        <v>16</v>
      </c>
      <c r="C624" t="s">
        <v>12</v>
      </c>
      <c r="D624">
        <v>453</v>
      </c>
      <c r="E624">
        <v>7.4</v>
      </c>
      <c r="F624">
        <v>2363</v>
      </c>
      <c r="G624">
        <v>65</v>
      </c>
      <c r="H624">
        <v>1046</v>
      </c>
      <c r="I624">
        <v>41</v>
      </c>
      <c r="J624" t="str">
        <f>IF(Table2[[#This Row],[Age]]&lt;=24, "18 - 24", IF(Table2[[#This Row],[Age]]&lt;=34, "25 - 34", IF(Table2[[#This Row],[Age]]&lt;=44, "35 - 44", IF(Table2[[#This Row],[Age]]&lt;=54, "45 - 54", "55 - 59"))))</f>
        <v>35 - 44</v>
      </c>
      <c r="K624" t="str">
        <f>IF(Table2[[#This Row],[Age]]&lt;=24, "Young Adults", IF(Table2[[#This Row],[Age]]&lt;=34, "Early Career", IF(Table2[[#This Row],[Age]]&lt;=44, "Mid Career", IF(Table2[[#This Row],[Age]]&lt;=54, "Mature Adults", "Pre-retirment"))))</f>
        <v>Mid Career</v>
      </c>
      <c r="L624" t="s">
        <v>15</v>
      </c>
      <c r="M624">
        <v>4</v>
      </c>
      <c r="N624" t="str">
        <f t="shared" si="9"/>
        <v>Heavy User</v>
      </c>
    </row>
    <row r="625" spans="1:14" x14ac:dyDescent="0.25">
      <c r="A625">
        <v>624</v>
      </c>
      <c r="B625" t="s">
        <v>14</v>
      </c>
      <c r="C625" t="s">
        <v>12</v>
      </c>
      <c r="D625">
        <v>42</v>
      </c>
      <c r="E625">
        <v>1.8</v>
      </c>
      <c r="F625">
        <v>417</v>
      </c>
      <c r="G625">
        <v>15</v>
      </c>
      <c r="H625">
        <v>284</v>
      </c>
      <c r="I625">
        <v>21</v>
      </c>
      <c r="J625" t="str">
        <f>IF(Table2[[#This Row],[Age]]&lt;=24, "18 - 24", IF(Table2[[#This Row],[Age]]&lt;=34, "25 - 34", IF(Table2[[#This Row],[Age]]&lt;=44, "35 - 44", IF(Table2[[#This Row],[Age]]&lt;=54, "45 - 54", "55 - 59"))))</f>
        <v>18 - 24</v>
      </c>
      <c r="K625" t="str">
        <f>IF(Table2[[#This Row],[Age]]&lt;=24, "Young Adults", IF(Table2[[#This Row],[Age]]&lt;=34, "Early Career", IF(Table2[[#This Row],[Age]]&lt;=44, "Mid Career", IF(Table2[[#This Row],[Age]]&lt;=54, "Mature Adults", "Pre-retirment"))))</f>
        <v>Young Adults</v>
      </c>
      <c r="L625" t="s">
        <v>13</v>
      </c>
      <c r="M625">
        <v>1</v>
      </c>
      <c r="N625" t="str">
        <f t="shared" si="9"/>
        <v>Light User</v>
      </c>
    </row>
    <row r="626" spans="1:14" x14ac:dyDescent="0.25">
      <c r="A626">
        <v>625</v>
      </c>
      <c r="B626" t="s">
        <v>19</v>
      </c>
      <c r="C626" t="s">
        <v>12</v>
      </c>
      <c r="D626">
        <v>36</v>
      </c>
      <c r="E626">
        <v>1.5</v>
      </c>
      <c r="F626">
        <v>310</v>
      </c>
      <c r="G626">
        <v>15</v>
      </c>
      <c r="H626">
        <v>272</v>
      </c>
      <c r="I626">
        <v>45</v>
      </c>
      <c r="J626" t="str">
        <f>IF(Table2[[#This Row],[Age]]&lt;=24, "18 - 24", IF(Table2[[#This Row],[Age]]&lt;=34, "25 - 34", IF(Table2[[#This Row],[Age]]&lt;=44, "35 - 44", IF(Table2[[#This Row],[Age]]&lt;=54, "45 - 54", "55 - 59"))))</f>
        <v>45 - 54</v>
      </c>
      <c r="K626" t="str">
        <f>IF(Table2[[#This Row],[Age]]&lt;=24, "Young Adults", IF(Table2[[#This Row],[Age]]&lt;=34, "Early Career", IF(Table2[[#This Row],[Age]]&lt;=44, "Mid Career", IF(Table2[[#This Row],[Age]]&lt;=54, "Mature Adults", "Pre-retirment"))))</f>
        <v>Mature Adults</v>
      </c>
      <c r="L626" t="s">
        <v>13</v>
      </c>
      <c r="M626">
        <v>1</v>
      </c>
      <c r="N626" t="str">
        <f t="shared" si="9"/>
        <v>Light User</v>
      </c>
    </row>
    <row r="627" spans="1:14" x14ac:dyDescent="0.25">
      <c r="A627">
        <v>626</v>
      </c>
      <c r="B627" t="s">
        <v>14</v>
      </c>
      <c r="C627" t="s">
        <v>12</v>
      </c>
      <c r="D627">
        <v>55</v>
      </c>
      <c r="E627">
        <v>1.8</v>
      </c>
      <c r="F627">
        <v>328</v>
      </c>
      <c r="G627">
        <v>12</v>
      </c>
      <c r="H627">
        <v>196</v>
      </c>
      <c r="I627">
        <v>31</v>
      </c>
      <c r="J627" t="str">
        <f>IF(Table2[[#This Row],[Age]]&lt;=24, "18 - 24", IF(Table2[[#This Row],[Age]]&lt;=34, "25 - 34", IF(Table2[[#This Row],[Age]]&lt;=44, "35 - 44", IF(Table2[[#This Row],[Age]]&lt;=54, "45 - 54", "55 - 59"))))</f>
        <v>25 - 34</v>
      </c>
      <c r="K627" t="str">
        <f>IF(Table2[[#This Row],[Age]]&lt;=24, "Young Adults", IF(Table2[[#This Row],[Age]]&lt;=34, "Early Career", IF(Table2[[#This Row],[Age]]&lt;=44, "Mid Career", IF(Table2[[#This Row],[Age]]&lt;=54, "Mature Adults", "Pre-retirment"))))</f>
        <v>Early Career</v>
      </c>
      <c r="L627" t="s">
        <v>15</v>
      </c>
      <c r="M627">
        <v>1</v>
      </c>
      <c r="N627" t="str">
        <f t="shared" si="9"/>
        <v>Light User</v>
      </c>
    </row>
    <row r="628" spans="1:14" x14ac:dyDescent="0.25">
      <c r="A628">
        <v>627</v>
      </c>
      <c r="B628" t="s">
        <v>17</v>
      </c>
      <c r="C628" t="s">
        <v>18</v>
      </c>
      <c r="D628">
        <v>210</v>
      </c>
      <c r="E628">
        <v>5</v>
      </c>
      <c r="F628">
        <v>1614</v>
      </c>
      <c r="G628">
        <v>53</v>
      </c>
      <c r="H628">
        <v>679</v>
      </c>
      <c r="I628">
        <v>55</v>
      </c>
      <c r="J628" t="str">
        <f>IF(Table2[[#This Row],[Age]]&lt;=24, "18 - 24", IF(Table2[[#This Row],[Age]]&lt;=34, "25 - 34", IF(Table2[[#This Row],[Age]]&lt;=44, "35 - 44", IF(Table2[[#This Row],[Age]]&lt;=54, "45 - 54", "55 - 59"))))</f>
        <v>55 - 59</v>
      </c>
      <c r="K628" t="str">
        <f>IF(Table2[[#This Row],[Age]]&lt;=24, "Young Adults", IF(Table2[[#This Row],[Age]]&lt;=34, "Early Career", IF(Table2[[#This Row],[Age]]&lt;=44, "Mid Career", IF(Table2[[#This Row],[Age]]&lt;=54, "Mature Adults", "Pre-retirment"))))</f>
        <v>Pre-retirment</v>
      </c>
      <c r="L628" t="s">
        <v>15</v>
      </c>
      <c r="M628">
        <v>3</v>
      </c>
      <c r="N628" t="str">
        <f t="shared" si="9"/>
        <v>Moderate User</v>
      </c>
    </row>
    <row r="629" spans="1:14" x14ac:dyDescent="0.25">
      <c r="A629">
        <v>628</v>
      </c>
      <c r="B629" t="s">
        <v>17</v>
      </c>
      <c r="C629" t="s">
        <v>18</v>
      </c>
      <c r="D629">
        <v>227</v>
      </c>
      <c r="E629">
        <v>5.2</v>
      </c>
      <c r="F629">
        <v>1446</v>
      </c>
      <c r="G629">
        <v>46</v>
      </c>
      <c r="H629">
        <v>920</v>
      </c>
      <c r="I629">
        <v>59</v>
      </c>
      <c r="J629" t="str">
        <f>IF(Table2[[#This Row],[Age]]&lt;=24, "18 - 24", IF(Table2[[#This Row],[Age]]&lt;=34, "25 - 34", IF(Table2[[#This Row],[Age]]&lt;=44, "35 - 44", IF(Table2[[#This Row],[Age]]&lt;=54, "45 - 54", "55 - 59"))))</f>
        <v>55 - 59</v>
      </c>
      <c r="K629" t="str">
        <f>IF(Table2[[#This Row],[Age]]&lt;=24, "Young Adults", IF(Table2[[#This Row],[Age]]&lt;=34, "Early Career", IF(Table2[[#This Row],[Age]]&lt;=44, "Mid Career", IF(Table2[[#This Row],[Age]]&lt;=54, "Mature Adults", "Pre-retirment"))))</f>
        <v>Pre-retirment</v>
      </c>
      <c r="L629" t="s">
        <v>13</v>
      </c>
      <c r="M629">
        <v>3</v>
      </c>
      <c r="N629" t="str">
        <f t="shared" si="9"/>
        <v>Moderate User</v>
      </c>
    </row>
    <row r="630" spans="1:14" x14ac:dyDescent="0.25">
      <c r="A630">
        <v>629</v>
      </c>
      <c r="B630" t="s">
        <v>16</v>
      </c>
      <c r="C630" t="s">
        <v>12</v>
      </c>
      <c r="D630">
        <v>47</v>
      </c>
      <c r="E630">
        <v>1.2</v>
      </c>
      <c r="F630">
        <v>437</v>
      </c>
      <c r="G630">
        <v>18</v>
      </c>
      <c r="H630">
        <v>234</v>
      </c>
      <c r="I630">
        <v>55</v>
      </c>
      <c r="J630" t="str">
        <f>IF(Table2[[#This Row],[Age]]&lt;=24, "18 - 24", IF(Table2[[#This Row],[Age]]&lt;=34, "25 - 34", IF(Table2[[#This Row],[Age]]&lt;=44, "35 - 44", IF(Table2[[#This Row],[Age]]&lt;=54, "45 - 54", "55 - 59"))))</f>
        <v>55 - 59</v>
      </c>
      <c r="K630" t="str">
        <f>IF(Table2[[#This Row],[Age]]&lt;=24, "Young Adults", IF(Table2[[#This Row],[Age]]&lt;=34, "Early Career", IF(Table2[[#This Row],[Age]]&lt;=44, "Mid Career", IF(Table2[[#This Row],[Age]]&lt;=54, "Mature Adults", "Pre-retirment"))))</f>
        <v>Pre-retirment</v>
      </c>
      <c r="L630" t="s">
        <v>13</v>
      </c>
      <c r="M630">
        <v>1</v>
      </c>
      <c r="N630" t="str">
        <f t="shared" si="9"/>
        <v>Light User</v>
      </c>
    </row>
    <row r="631" spans="1:14" x14ac:dyDescent="0.25">
      <c r="A631">
        <v>630</v>
      </c>
      <c r="B631" t="s">
        <v>17</v>
      </c>
      <c r="C631" t="s">
        <v>18</v>
      </c>
      <c r="D631">
        <v>461</v>
      </c>
      <c r="E631">
        <v>6.3</v>
      </c>
      <c r="F631">
        <v>1988</v>
      </c>
      <c r="G631">
        <v>62</v>
      </c>
      <c r="H631">
        <v>1004</v>
      </c>
      <c r="I631">
        <v>21</v>
      </c>
      <c r="J631" t="str">
        <f>IF(Table2[[#This Row],[Age]]&lt;=24, "18 - 24", IF(Table2[[#This Row],[Age]]&lt;=34, "25 - 34", IF(Table2[[#This Row],[Age]]&lt;=44, "35 - 44", IF(Table2[[#This Row],[Age]]&lt;=54, "45 - 54", "55 - 59"))))</f>
        <v>18 - 24</v>
      </c>
      <c r="K631" t="str">
        <f>IF(Table2[[#This Row],[Age]]&lt;=24, "Young Adults", IF(Table2[[#This Row],[Age]]&lt;=34, "Early Career", IF(Table2[[#This Row],[Age]]&lt;=44, "Mid Career", IF(Table2[[#This Row],[Age]]&lt;=54, "Mature Adults", "Pre-retirment"))))</f>
        <v>Young Adults</v>
      </c>
      <c r="L631" t="s">
        <v>13</v>
      </c>
      <c r="M631">
        <v>4</v>
      </c>
      <c r="N631" t="str">
        <f t="shared" si="9"/>
        <v>Heavy User</v>
      </c>
    </row>
    <row r="632" spans="1:14" x14ac:dyDescent="0.25">
      <c r="A632">
        <v>631</v>
      </c>
      <c r="B632" t="s">
        <v>11</v>
      </c>
      <c r="C632" t="s">
        <v>12</v>
      </c>
      <c r="D632">
        <v>94</v>
      </c>
      <c r="E632">
        <v>3.1</v>
      </c>
      <c r="F632">
        <v>1078</v>
      </c>
      <c r="G632">
        <v>38</v>
      </c>
      <c r="H632">
        <v>489</v>
      </c>
      <c r="I632">
        <v>25</v>
      </c>
      <c r="J632" t="str">
        <f>IF(Table2[[#This Row],[Age]]&lt;=24, "18 - 24", IF(Table2[[#This Row],[Age]]&lt;=34, "25 - 34", IF(Table2[[#This Row],[Age]]&lt;=44, "35 - 44", IF(Table2[[#This Row],[Age]]&lt;=54, "45 - 54", "55 - 59"))))</f>
        <v>25 - 34</v>
      </c>
      <c r="K632" t="str">
        <f>IF(Table2[[#This Row],[Age]]&lt;=24, "Young Adults", IF(Table2[[#This Row],[Age]]&lt;=34, "Early Career", IF(Table2[[#This Row],[Age]]&lt;=44, "Mid Career", IF(Table2[[#This Row],[Age]]&lt;=54, "Mature Adults", "Pre-retirment"))))</f>
        <v>Early Career</v>
      </c>
      <c r="L632" t="s">
        <v>13</v>
      </c>
      <c r="M632">
        <v>2</v>
      </c>
      <c r="N632" t="str">
        <f t="shared" si="9"/>
        <v>Light User</v>
      </c>
    </row>
    <row r="633" spans="1:14" x14ac:dyDescent="0.25">
      <c r="A633">
        <v>632</v>
      </c>
      <c r="B633" t="s">
        <v>19</v>
      </c>
      <c r="C633" t="s">
        <v>12</v>
      </c>
      <c r="D633">
        <v>216</v>
      </c>
      <c r="E633">
        <v>5.0999999999999996</v>
      </c>
      <c r="F633">
        <v>1483</v>
      </c>
      <c r="G633">
        <v>54</v>
      </c>
      <c r="H633">
        <v>977</v>
      </c>
      <c r="I633">
        <v>45</v>
      </c>
      <c r="J633" t="str">
        <f>IF(Table2[[#This Row],[Age]]&lt;=24, "18 - 24", IF(Table2[[#This Row],[Age]]&lt;=34, "25 - 34", IF(Table2[[#This Row],[Age]]&lt;=44, "35 - 44", IF(Table2[[#This Row],[Age]]&lt;=54, "45 - 54", "55 - 59"))))</f>
        <v>45 - 54</v>
      </c>
      <c r="K633" t="str">
        <f>IF(Table2[[#This Row],[Age]]&lt;=24, "Young Adults", IF(Table2[[#This Row],[Age]]&lt;=34, "Early Career", IF(Table2[[#This Row],[Age]]&lt;=44, "Mid Career", IF(Table2[[#This Row],[Age]]&lt;=54, "Mature Adults", "Pre-retirment"))))</f>
        <v>Mature Adults</v>
      </c>
      <c r="L633" t="s">
        <v>15</v>
      </c>
      <c r="M633">
        <v>3</v>
      </c>
      <c r="N633" t="str">
        <f t="shared" si="9"/>
        <v>Moderate User</v>
      </c>
    </row>
    <row r="634" spans="1:14" x14ac:dyDescent="0.25">
      <c r="A634">
        <v>633</v>
      </c>
      <c r="B634" t="s">
        <v>17</v>
      </c>
      <c r="C634" t="s">
        <v>18</v>
      </c>
      <c r="D634">
        <v>496</v>
      </c>
      <c r="E634">
        <v>10.199999999999999</v>
      </c>
      <c r="F634">
        <v>2587</v>
      </c>
      <c r="G634">
        <v>84</v>
      </c>
      <c r="H634">
        <v>1921</v>
      </c>
      <c r="I634">
        <v>56</v>
      </c>
      <c r="J634" t="str">
        <f>IF(Table2[[#This Row],[Age]]&lt;=24, "18 - 24", IF(Table2[[#This Row],[Age]]&lt;=34, "25 - 34", IF(Table2[[#This Row],[Age]]&lt;=44, "35 - 44", IF(Table2[[#This Row],[Age]]&lt;=54, "45 - 54", "55 - 59"))))</f>
        <v>55 - 59</v>
      </c>
      <c r="K634" t="str">
        <f>IF(Table2[[#This Row],[Age]]&lt;=24, "Young Adults", IF(Table2[[#This Row],[Age]]&lt;=34, "Early Career", IF(Table2[[#This Row],[Age]]&lt;=44, "Mid Career", IF(Table2[[#This Row],[Age]]&lt;=54, "Mature Adults", "Pre-retirment"))))</f>
        <v>Pre-retirment</v>
      </c>
      <c r="L634" t="s">
        <v>15</v>
      </c>
      <c r="M634">
        <v>5</v>
      </c>
      <c r="N634" t="str">
        <f t="shared" si="9"/>
        <v>Heavy User</v>
      </c>
    </row>
    <row r="635" spans="1:14" x14ac:dyDescent="0.25">
      <c r="A635">
        <v>634</v>
      </c>
      <c r="B635" t="s">
        <v>14</v>
      </c>
      <c r="C635" t="s">
        <v>12</v>
      </c>
      <c r="D635">
        <v>138</v>
      </c>
      <c r="E635">
        <v>3.2</v>
      </c>
      <c r="F635">
        <v>1142</v>
      </c>
      <c r="G635">
        <v>31</v>
      </c>
      <c r="H635">
        <v>366</v>
      </c>
      <c r="I635">
        <v>29</v>
      </c>
      <c r="J635" t="str">
        <f>IF(Table2[[#This Row],[Age]]&lt;=24, "18 - 24", IF(Table2[[#This Row],[Age]]&lt;=34, "25 - 34", IF(Table2[[#This Row],[Age]]&lt;=44, "35 - 44", IF(Table2[[#This Row],[Age]]&lt;=54, "45 - 54", "55 - 59"))))</f>
        <v>25 - 34</v>
      </c>
      <c r="K635" t="str">
        <f>IF(Table2[[#This Row],[Age]]&lt;=24, "Young Adults", IF(Table2[[#This Row],[Age]]&lt;=34, "Early Career", IF(Table2[[#This Row],[Age]]&lt;=44, "Mid Career", IF(Table2[[#This Row],[Age]]&lt;=54, "Mature Adults", "Pre-retirment"))))</f>
        <v>Early Career</v>
      </c>
      <c r="L635" t="s">
        <v>15</v>
      </c>
      <c r="M635">
        <v>2</v>
      </c>
      <c r="N635" t="str">
        <f t="shared" si="9"/>
        <v>Light User</v>
      </c>
    </row>
    <row r="636" spans="1:14" x14ac:dyDescent="0.25">
      <c r="A636">
        <v>635</v>
      </c>
      <c r="B636" t="s">
        <v>17</v>
      </c>
      <c r="C636" t="s">
        <v>18</v>
      </c>
      <c r="D636">
        <v>318</v>
      </c>
      <c r="E636">
        <v>6.6</v>
      </c>
      <c r="F636">
        <v>2055</v>
      </c>
      <c r="G636">
        <v>67</v>
      </c>
      <c r="H636">
        <v>1253</v>
      </c>
      <c r="I636">
        <v>43</v>
      </c>
      <c r="J636" t="str">
        <f>IF(Table2[[#This Row],[Age]]&lt;=24, "18 - 24", IF(Table2[[#This Row],[Age]]&lt;=34, "25 - 34", IF(Table2[[#This Row],[Age]]&lt;=44, "35 - 44", IF(Table2[[#This Row],[Age]]&lt;=54, "45 - 54", "55 - 59"))))</f>
        <v>35 - 44</v>
      </c>
      <c r="K636" t="str">
        <f>IF(Table2[[#This Row],[Age]]&lt;=24, "Young Adults", IF(Table2[[#This Row],[Age]]&lt;=34, "Early Career", IF(Table2[[#This Row],[Age]]&lt;=44, "Mid Career", IF(Table2[[#This Row],[Age]]&lt;=54, "Mature Adults", "Pre-retirment"))))</f>
        <v>Mid Career</v>
      </c>
      <c r="L636" t="s">
        <v>13</v>
      </c>
      <c r="M636">
        <v>4</v>
      </c>
      <c r="N636" t="str">
        <f t="shared" si="9"/>
        <v>Heavy User</v>
      </c>
    </row>
    <row r="637" spans="1:14" x14ac:dyDescent="0.25">
      <c r="A637">
        <v>636</v>
      </c>
      <c r="B637" t="s">
        <v>19</v>
      </c>
      <c r="C637" t="s">
        <v>12</v>
      </c>
      <c r="D637">
        <v>96</v>
      </c>
      <c r="E637">
        <v>3.4</v>
      </c>
      <c r="F637">
        <v>1198</v>
      </c>
      <c r="G637">
        <v>39</v>
      </c>
      <c r="H637">
        <v>401</v>
      </c>
      <c r="I637">
        <v>48</v>
      </c>
      <c r="J637" t="str">
        <f>IF(Table2[[#This Row],[Age]]&lt;=24, "18 - 24", IF(Table2[[#This Row],[Age]]&lt;=34, "25 - 34", IF(Table2[[#This Row],[Age]]&lt;=44, "35 - 44", IF(Table2[[#This Row],[Age]]&lt;=54, "45 - 54", "55 - 59"))))</f>
        <v>45 - 54</v>
      </c>
      <c r="K637" t="str">
        <f>IF(Table2[[#This Row],[Age]]&lt;=24, "Young Adults", IF(Table2[[#This Row],[Age]]&lt;=34, "Early Career", IF(Table2[[#This Row],[Age]]&lt;=44, "Mid Career", IF(Table2[[#This Row],[Age]]&lt;=54, "Mature Adults", "Pre-retirment"))))</f>
        <v>Mature Adults</v>
      </c>
      <c r="L637" t="s">
        <v>15</v>
      </c>
      <c r="M637">
        <v>2</v>
      </c>
      <c r="N637" t="str">
        <f t="shared" si="9"/>
        <v>Light User</v>
      </c>
    </row>
    <row r="638" spans="1:14" x14ac:dyDescent="0.25">
      <c r="A638">
        <v>637</v>
      </c>
      <c r="B638" t="s">
        <v>14</v>
      </c>
      <c r="C638" t="s">
        <v>12</v>
      </c>
      <c r="D638">
        <v>510</v>
      </c>
      <c r="E638">
        <v>10.7</v>
      </c>
      <c r="F638">
        <v>2433</v>
      </c>
      <c r="G638">
        <v>90</v>
      </c>
      <c r="H638">
        <v>1729</v>
      </c>
      <c r="I638">
        <v>47</v>
      </c>
      <c r="J638" t="str">
        <f>IF(Table2[[#This Row],[Age]]&lt;=24, "18 - 24", IF(Table2[[#This Row],[Age]]&lt;=34, "25 - 34", IF(Table2[[#This Row],[Age]]&lt;=44, "35 - 44", IF(Table2[[#This Row],[Age]]&lt;=54, "45 - 54", "55 - 59"))))</f>
        <v>45 - 54</v>
      </c>
      <c r="K638" t="str">
        <f>IF(Table2[[#This Row],[Age]]&lt;=24, "Young Adults", IF(Table2[[#This Row],[Age]]&lt;=34, "Early Career", IF(Table2[[#This Row],[Age]]&lt;=44, "Mid Career", IF(Table2[[#This Row],[Age]]&lt;=54, "Mature Adults", "Pre-retirment"))))</f>
        <v>Mature Adults</v>
      </c>
      <c r="L638" t="s">
        <v>13</v>
      </c>
      <c r="M638">
        <v>5</v>
      </c>
      <c r="N638" t="str">
        <f t="shared" si="9"/>
        <v>Heavy User</v>
      </c>
    </row>
    <row r="639" spans="1:14" x14ac:dyDescent="0.25">
      <c r="A639">
        <v>638</v>
      </c>
      <c r="B639" t="s">
        <v>16</v>
      </c>
      <c r="C639" t="s">
        <v>12</v>
      </c>
      <c r="D639">
        <v>83</v>
      </c>
      <c r="E639">
        <v>1.1000000000000001</v>
      </c>
      <c r="F639">
        <v>546</v>
      </c>
      <c r="G639">
        <v>10</v>
      </c>
      <c r="H639">
        <v>289</v>
      </c>
      <c r="I639">
        <v>32</v>
      </c>
      <c r="J639" t="str">
        <f>IF(Table2[[#This Row],[Age]]&lt;=24, "18 - 24", IF(Table2[[#This Row],[Age]]&lt;=34, "25 - 34", IF(Table2[[#This Row],[Age]]&lt;=44, "35 - 44", IF(Table2[[#This Row],[Age]]&lt;=54, "45 - 54", "55 - 59"))))</f>
        <v>25 - 34</v>
      </c>
      <c r="K639" t="str">
        <f>IF(Table2[[#This Row],[Age]]&lt;=24, "Young Adults", IF(Table2[[#This Row],[Age]]&lt;=34, "Early Career", IF(Table2[[#This Row],[Age]]&lt;=44, "Mid Career", IF(Table2[[#This Row],[Age]]&lt;=54, "Mature Adults", "Pre-retirment"))))</f>
        <v>Early Career</v>
      </c>
      <c r="L639" t="s">
        <v>15</v>
      </c>
      <c r="M639">
        <v>1</v>
      </c>
      <c r="N639" t="str">
        <f t="shared" si="9"/>
        <v>Light User</v>
      </c>
    </row>
    <row r="640" spans="1:14" x14ac:dyDescent="0.25">
      <c r="A640">
        <v>639</v>
      </c>
      <c r="B640" t="s">
        <v>11</v>
      </c>
      <c r="C640" t="s">
        <v>12</v>
      </c>
      <c r="D640">
        <v>417</v>
      </c>
      <c r="E640">
        <v>6.2</v>
      </c>
      <c r="F640">
        <v>2074</v>
      </c>
      <c r="G640">
        <v>63</v>
      </c>
      <c r="H640">
        <v>1135</v>
      </c>
      <c r="I640">
        <v>35</v>
      </c>
      <c r="J640" t="str">
        <f>IF(Table2[[#This Row],[Age]]&lt;=24, "18 - 24", IF(Table2[[#This Row],[Age]]&lt;=34, "25 - 34", IF(Table2[[#This Row],[Age]]&lt;=44, "35 - 44", IF(Table2[[#This Row],[Age]]&lt;=54, "45 - 54", "55 - 59"))))</f>
        <v>35 - 44</v>
      </c>
      <c r="K640" t="str">
        <f>IF(Table2[[#This Row],[Age]]&lt;=24, "Young Adults", IF(Table2[[#This Row],[Age]]&lt;=34, "Early Career", IF(Table2[[#This Row],[Age]]&lt;=44, "Mid Career", IF(Table2[[#This Row],[Age]]&lt;=54, "Mature Adults", "Pre-retirment"))))</f>
        <v>Mid Career</v>
      </c>
      <c r="L640" t="s">
        <v>15</v>
      </c>
      <c r="M640">
        <v>4</v>
      </c>
      <c r="N640" t="str">
        <f t="shared" si="9"/>
        <v>Heavy User</v>
      </c>
    </row>
    <row r="641" spans="1:14" x14ac:dyDescent="0.25">
      <c r="A641">
        <v>640</v>
      </c>
      <c r="B641" t="s">
        <v>11</v>
      </c>
      <c r="C641" t="s">
        <v>12</v>
      </c>
      <c r="D641">
        <v>538</v>
      </c>
      <c r="E641">
        <v>9.8000000000000007</v>
      </c>
      <c r="F641">
        <v>2778</v>
      </c>
      <c r="G641">
        <v>91</v>
      </c>
      <c r="H641">
        <v>2080</v>
      </c>
      <c r="I641">
        <v>35</v>
      </c>
      <c r="J641" t="str">
        <f>IF(Table2[[#This Row],[Age]]&lt;=24, "18 - 24", IF(Table2[[#This Row],[Age]]&lt;=34, "25 - 34", IF(Table2[[#This Row],[Age]]&lt;=44, "35 - 44", IF(Table2[[#This Row],[Age]]&lt;=54, "45 - 54", "55 - 59"))))</f>
        <v>35 - 44</v>
      </c>
      <c r="K641" t="str">
        <f>IF(Table2[[#This Row],[Age]]&lt;=24, "Young Adults", IF(Table2[[#This Row],[Age]]&lt;=34, "Early Career", IF(Table2[[#This Row],[Age]]&lt;=44, "Mid Career", IF(Table2[[#This Row],[Age]]&lt;=54, "Mature Adults", "Pre-retirment"))))</f>
        <v>Mid Career</v>
      </c>
      <c r="L641" t="s">
        <v>15</v>
      </c>
      <c r="M641">
        <v>5</v>
      </c>
      <c r="N641" t="str">
        <f t="shared" si="9"/>
        <v>Heavy User</v>
      </c>
    </row>
    <row r="642" spans="1:14" x14ac:dyDescent="0.25">
      <c r="A642">
        <v>641</v>
      </c>
      <c r="B642" t="s">
        <v>19</v>
      </c>
      <c r="C642" t="s">
        <v>12</v>
      </c>
      <c r="D642">
        <v>63</v>
      </c>
      <c r="E642">
        <v>1.8</v>
      </c>
      <c r="F642">
        <v>321</v>
      </c>
      <c r="G642">
        <v>11</v>
      </c>
      <c r="H642">
        <v>271</v>
      </c>
      <c r="I642">
        <v>42</v>
      </c>
      <c r="J642" t="str">
        <f>IF(Table2[[#This Row],[Age]]&lt;=24, "18 - 24", IF(Table2[[#This Row],[Age]]&lt;=34, "25 - 34", IF(Table2[[#This Row],[Age]]&lt;=44, "35 - 44", IF(Table2[[#This Row],[Age]]&lt;=54, "45 - 54", "55 - 59"))))</f>
        <v>35 - 44</v>
      </c>
      <c r="K642" t="str">
        <f>IF(Table2[[#This Row],[Age]]&lt;=24, "Young Adults", IF(Table2[[#This Row],[Age]]&lt;=34, "Early Career", IF(Table2[[#This Row],[Age]]&lt;=44, "Mid Career", IF(Table2[[#This Row],[Age]]&lt;=54, "Mature Adults", "Pre-retirment"))))</f>
        <v>Mid Career</v>
      </c>
      <c r="L642" t="s">
        <v>13</v>
      </c>
      <c r="M642">
        <v>1</v>
      </c>
      <c r="N642" t="str">
        <f t="shared" si="9"/>
        <v>Light User</v>
      </c>
    </row>
    <row r="643" spans="1:14" x14ac:dyDescent="0.25">
      <c r="A643">
        <v>642</v>
      </c>
      <c r="B643" t="s">
        <v>14</v>
      </c>
      <c r="C643" t="s">
        <v>12</v>
      </c>
      <c r="D643">
        <v>50</v>
      </c>
      <c r="E643">
        <v>1.4</v>
      </c>
      <c r="F643">
        <v>443</v>
      </c>
      <c r="G643">
        <v>16</v>
      </c>
      <c r="H643">
        <v>255</v>
      </c>
      <c r="I643">
        <v>26</v>
      </c>
      <c r="J643" t="str">
        <f>IF(Table2[[#This Row],[Age]]&lt;=24, "18 - 24", IF(Table2[[#This Row],[Age]]&lt;=34, "25 - 34", IF(Table2[[#This Row],[Age]]&lt;=44, "35 - 44", IF(Table2[[#This Row],[Age]]&lt;=54, "45 - 54", "55 - 59"))))</f>
        <v>25 - 34</v>
      </c>
      <c r="K643" t="str">
        <f>IF(Table2[[#This Row],[Age]]&lt;=24, "Young Adults", IF(Table2[[#This Row],[Age]]&lt;=34, "Early Career", IF(Table2[[#This Row],[Age]]&lt;=44, "Mid Career", IF(Table2[[#This Row],[Age]]&lt;=54, "Mature Adults", "Pre-retirment"))))</f>
        <v>Early Career</v>
      </c>
      <c r="L643" t="s">
        <v>15</v>
      </c>
      <c r="M643">
        <v>1</v>
      </c>
      <c r="N643" t="str">
        <f t="shared" ref="N643:N701" si="10">IF(M643&lt;=2, "Light User", IF(M643=3, "Moderate User", "Heavy User"))</f>
        <v>Light User</v>
      </c>
    </row>
    <row r="644" spans="1:14" x14ac:dyDescent="0.25">
      <c r="A644">
        <v>643</v>
      </c>
      <c r="B644" t="s">
        <v>11</v>
      </c>
      <c r="C644" t="s">
        <v>12</v>
      </c>
      <c r="D644">
        <v>502</v>
      </c>
      <c r="E644">
        <v>8.1999999999999993</v>
      </c>
      <c r="F644">
        <v>2597</v>
      </c>
      <c r="G644">
        <v>90</v>
      </c>
      <c r="H644">
        <v>1553</v>
      </c>
      <c r="I644">
        <v>27</v>
      </c>
      <c r="J644" t="str">
        <f>IF(Table2[[#This Row],[Age]]&lt;=24, "18 - 24", IF(Table2[[#This Row],[Age]]&lt;=34, "25 - 34", IF(Table2[[#This Row],[Age]]&lt;=44, "35 - 44", IF(Table2[[#This Row],[Age]]&lt;=54, "45 - 54", "55 - 59"))))</f>
        <v>25 - 34</v>
      </c>
      <c r="K644" t="str">
        <f>IF(Table2[[#This Row],[Age]]&lt;=24, "Young Adults", IF(Table2[[#This Row],[Age]]&lt;=34, "Early Career", IF(Table2[[#This Row],[Age]]&lt;=44, "Mid Career", IF(Table2[[#This Row],[Age]]&lt;=54, "Mature Adults", "Pre-retirment"))))</f>
        <v>Early Career</v>
      </c>
      <c r="L644" t="s">
        <v>13</v>
      </c>
      <c r="M644">
        <v>5</v>
      </c>
      <c r="N644" t="str">
        <f t="shared" si="10"/>
        <v>Heavy User</v>
      </c>
    </row>
    <row r="645" spans="1:14" x14ac:dyDescent="0.25">
      <c r="A645">
        <v>644</v>
      </c>
      <c r="B645" t="s">
        <v>14</v>
      </c>
      <c r="C645" t="s">
        <v>12</v>
      </c>
      <c r="D645">
        <v>105</v>
      </c>
      <c r="E645">
        <v>3.3</v>
      </c>
      <c r="F645">
        <v>723</v>
      </c>
      <c r="G645">
        <v>35</v>
      </c>
      <c r="H645">
        <v>566</v>
      </c>
      <c r="I645">
        <v>46</v>
      </c>
      <c r="J645" t="str">
        <f>IF(Table2[[#This Row],[Age]]&lt;=24, "18 - 24", IF(Table2[[#This Row],[Age]]&lt;=34, "25 - 34", IF(Table2[[#This Row],[Age]]&lt;=44, "35 - 44", IF(Table2[[#This Row],[Age]]&lt;=54, "45 - 54", "55 - 59"))))</f>
        <v>45 - 54</v>
      </c>
      <c r="K645" t="str">
        <f>IF(Table2[[#This Row],[Age]]&lt;=24, "Young Adults", IF(Table2[[#This Row],[Age]]&lt;=34, "Early Career", IF(Table2[[#This Row],[Age]]&lt;=44, "Mid Career", IF(Table2[[#This Row],[Age]]&lt;=54, "Mature Adults", "Pre-retirment"))))</f>
        <v>Mature Adults</v>
      </c>
      <c r="L645" t="s">
        <v>13</v>
      </c>
      <c r="M645">
        <v>2</v>
      </c>
      <c r="N645" t="str">
        <f t="shared" si="10"/>
        <v>Light User</v>
      </c>
    </row>
    <row r="646" spans="1:14" x14ac:dyDescent="0.25">
      <c r="A646">
        <v>645</v>
      </c>
      <c r="B646" t="s">
        <v>11</v>
      </c>
      <c r="C646" t="s">
        <v>12</v>
      </c>
      <c r="D646">
        <v>186</v>
      </c>
      <c r="E646">
        <v>4.8</v>
      </c>
      <c r="F646">
        <v>1494</v>
      </c>
      <c r="G646">
        <v>53</v>
      </c>
      <c r="H646">
        <v>949</v>
      </c>
      <c r="I646">
        <v>20</v>
      </c>
      <c r="J646" t="str">
        <f>IF(Table2[[#This Row],[Age]]&lt;=24, "18 - 24", IF(Table2[[#This Row],[Age]]&lt;=34, "25 - 34", IF(Table2[[#This Row],[Age]]&lt;=44, "35 - 44", IF(Table2[[#This Row],[Age]]&lt;=54, "45 - 54", "55 - 59"))))</f>
        <v>18 - 24</v>
      </c>
      <c r="K646" t="str">
        <f>IF(Table2[[#This Row],[Age]]&lt;=24, "Young Adults", IF(Table2[[#This Row],[Age]]&lt;=34, "Early Career", IF(Table2[[#This Row],[Age]]&lt;=44, "Mid Career", IF(Table2[[#This Row],[Age]]&lt;=54, "Mature Adults", "Pre-retirment"))))</f>
        <v>Young Adults</v>
      </c>
      <c r="L646" t="s">
        <v>15</v>
      </c>
      <c r="M646">
        <v>3</v>
      </c>
      <c r="N646" t="str">
        <f t="shared" si="10"/>
        <v>Moderate User</v>
      </c>
    </row>
    <row r="647" spans="1:14" x14ac:dyDescent="0.25">
      <c r="A647">
        <v>646</v>
      </c>
      <c r="B647" t="s">
        <v>16</v>
      </c>
      <c r="C647" t="s">
        <v>12</v>
      </c>
      <c r="D647">
        <v>174</v>
      </c>
      <c r="E647">
        <v>2.9</v>
      </c>
      <c r="F647">
        <v>1197</v>
      </c>
      <c r="G647">
        <v>23</v>
      </c>
      <c r="H647">
        <v>345</v>
      </c>
      <c r="I647">
        <v>20</v>
      </c>
      <c r="J647" t="str">
        <f>IF(Table2[[#This Row],[Age]]&lt;=24, "18 - 24", IF(Table2[[#This Row],[Age]]&lt;=34, "25 - 34", IF(Table2[[#This Row],[Age]]&lt;=44, "35 - 44", IF(Table2[[#This Row],[Age]]&lt;=54, "45 - 54", "55 - 59"))))</f>
        <v>18 - 24</v>
      </c>
      <c r="K647" t="str">
        <f>IF(Table2[[#This Row],[Age]]&lt;=24, "Young Adults", IF(Table2[[#This Row],[Age]]&lt;=34, "Early Career", IF(Table2[[#This Row],[Age]]&lt;=44, "Mid Career", IF(Table2[[#This Row],[Age]]&lt;=54, "Mature Adults", "Pre-retirment"))))</f>
        <v>Young Adults</v>
      </c>
      <c r="L647" t="s">
        <v>15</v>
      </c>
      <c r="M647">
        <v>2</v>
      </c>
      <c r="N647" t="str">
        <f t="shared" si="10"/>
        <v>Light User</v>
      </c>
    </row>
    <row r="648" spans="1:14" x14ac:dyDescent="0.25">
      <c r="A648">
        <v>647</v>
      </c>
      <c r="B648" t="s">
        <v>19</v>
      </c>
      <c r="C648" t="s">
        <v>12</v>
      </c>
      <c r="D648">
        <v>89</v>
      </c>
      <c r="E648">
        <v>1.3</v>
      </c>
      <c r="F648">
        <v>314</v>
      </c>
      <c r="G648">
        <v>16</v>
      </c>
      <c r="H648">
        <v>201</v>
      </c>
      <c r="I648">
        <v>58</v>
      </c>
      <c r="J648" t="str">
        <f>IF(Table2[[#This Row],[Age]]&lt;=24, "18 - 24", IF(Table2[[#This Row],[Age]]&lt;=34, "25 - 34", IF(Table2[[#This Row],[Age]]&lt;=44, "35 - 44", IF(Table2[[#This Row],[Age]]&lt;=54, "45 - 54", "55 - 59"))))</f>
        <v>55 - 59</v>
      </c>
      <c r="K648" t="str">
        <f>IF(Table2[[#This Row],[Age]]&lt;=24, "Young Adults", IF(Table2[[#This Row],[Age]]&lt;=34, "Early Career", IF(Table2[[#This Row],[Age]]&lt;=44, "Mid Career", IF(Table2[[#This Row],[Age]]&lt;=54, "Mature Adults", "Pre-retirment"))))</f>
        <v>Pre-retirment</v>
      </c>
      <c r="L648" t="s">
        <v>15</v>
      </c>
      <c r="M648">
        <v>1</v>
      </c>
      <c r="N648" t="str">
        <f t="shared" si="10"/>
        <v>Light User</v>
      </c>
    </row>
    <row r="649" spans="1:14" x14ac:dyDescent="0.25">
      <c r="A649">
        <v>648</v>
      </c>
      <c r="B649" t="s">
        <v>17</v>
      </c>
      <c r="C649" t="s">
        <v>18</v>
      </c>
      <c r="D649">
        <v>66</v>
      </c>
      <c r="E649">
        <v>1.5</v>
      </c>
      <c r="F649">
        <v>565</v>
      </c>
      <c r="G649">
        <v>17</v>
      </c>
      <c r="H649">
        <v>283</v>
      </c>
      <c r="I649">
        <v>42</v>
      </c>
      <c r="J649" t="str">
        <f>IF(Table2[[#This Row],[Age]]&lt;=24, "18 - 24", IF(Table2[[#This Row],[Age]]&lt;=34, "25 - 34", IF(Table2[[#This Row],[Age]]&lt;=44, "35 - 44", IF(Table2[[#This Row],[Age]]&lt;=54, "45 - 54", "55 - 59"))))</f>
        <v>35 - 44</v>
      </c>
      <c r="K649" t="str">
        <f>IF(Table2[[#This Row],[Age]]&lt;=24, "Young Adults", IF(Table2[[#This Row],[Age]]&lt;=34, "Early Career", IF(Table2[[#This Row],[Age]]&lt;=44, "Mid Career", IF(Table2[[#This Row],[Age]]&lt;=54, "Mature Adults", "Pre-retirment"))))</f>
        <v>Mid Career</v>
      </c>
      <c r="L649" t="s">
        <v>15</v>
      </c>
      <c r="M649">
        <v>1</v>
      </c>
      <c r="N649" t="str">
        <f t="shared" si="10"/>
        <v>Light User</v>
      </c>
    </row>
    <row r="650" spans="1:14" x14ac:dyDescent="0.25">
      <c r="A650">
        <v>649</v>
      </c>
      <c r="B650" t="s">
        <v>17</v>
      </c>
      <c r="C650" t="s">
        <v>18</v>
      </c>
      <c r="D650">
        <v>389</v>
      </c>
      <c r="E650">
        <v>6.3</v>
      </c>
      <c r="F650">
        <v>2294</v>
      </c>
      <c r="G650">
        <v>76</v>
      </c>
      <c r="H650">
        <v>1334</v>
      </c>
      <c r="I650">
        <v>53</v>
      </c>
      <c r="J650" t="str">
        <f>IF(Table2[[#This Row],[Age]]&lt;=24, "18 - 24", IF(Table2[[#This Row],[Age]]&lt;=34, "25 - 34", IF(Table2[[#This Row],[Age]]&lt;=44, "35 - 44", IF(Table2[[#This Row],[Age]]&lt;=54, "45 - 54", "55 - 59"))))</f>
        <v>45 - 54</v>
      </c>
      <c r="K650" t="str">
        <f>IF(Table2[[#This Row],[Age]]&lt;=24, "Young Adults", IF(Table2[[#This Row],[Age]]&lt;=34, "Early Career", IF(Table2[[#This Row],[Age]]&lt;=44, "Mid Career", IF(Table2[[#This Row],[Age]]&lt;=54, "Mature Adults", "Pre-retirment"))))</f>
        <v>Mature Adults</v>
      </c>
      <c r="L650" t="s">
        <v>13</v>
      </c>
      <c r="M650">
        <v>4</v>
      </c>
      <c r="N650" t="str">
        <f t="shared" si="10"/>
        <v>Heavy User</v>
      </c>
    </row>
    <row r="651" spans="1:14" x14ac:dyDescent="0.25">
      <c r="A651">
        <v>650</v>
      </c>
      <c r="B651" t="s">
        <v>16</v>
      </c>
      <c r="C651" t="s">
        <v>12</v>
      </c>
      <c r="D651">
        <v>186</v>
      </c>
      <c r="E651">
        <v>5.4</v>
      </c>
      <c r="F651">
        <v>1627</v>
      </c>
      <c r="G651">
        <v>58</v>
      </c>
      <c r="H651">
        <v>790</v>
      </c>
      <c r="I651">
        <v>31</v>
      </c>
      <c r="J651" t="str">
        <f>IF(Table2[[#This Row],[Age]]&lt;=24, "18 - 24", IF(Table2[[#This Row],[Age]]&lt;=34, "25 - 34", IF(Table2[[#This Row],[Age]]&lt;=44, "35 - 44", IF(Table2[[#This Row],[Age]]&lt;=54, "45 - 54", "55 - 59"))))</f>
        <v>25 - 34</v>
      </c>
      <c r="K651" t="str">
        <f>IF(Table2[[#This Row],[Age]]&lt;=24, "Young Adults", IF(Table2[[#This Row],[Age]]&lt;=34, "Early Career", IF(Table2[[#This Row],[Age]]&lt;=44, "Mid Career", IF(Table2[[#This Row],[Age]]&lt;=54, "Mature Adults", "Pre-retirment"))))</f>
        <v>Early Career</v>
      </c>
      <c r="L651" t="s">
        <v>15</v>
      </c>
      <c r="M651">
        <v>3</v>
      </c>
      <c r="N651" t="str">
        <f t="shared" si="10"/>
        <v>Moderate User</v>
      </c>
    </row>
    <row r="652" spans="1:14" x14ac:dyDescent="0.25">
      <c r="A652">
        <v>651</v>
      </c>
      <c r="B652" t="s">
        <v>11</v>
      </c>
      <c r="C652" t="s">
        <v>12</v>
      </c>
      <c r="D652">
        <v>149</v>
      </c>
      <c r="E652">
        <v>2</v>
      </c>
      <c r="F652">
        <v>1041</v>
      </c>
      <c r="G652">
        <v>39</v>
      </c>
      <c r="H652">
        <v>356</v>
      </c>
      <c r="I652">
        <v>49</v>
      </c>
      <c r="J652" t="str">
        <f>IF(Table2[[#This Row],[Age]]&lt;=24, "18 - 24", IF(Table2[[#This Row],[Age]]&lt;=34, "25 - 34", IF(Table2[[#This Row],[Age]]&lt;=44, "35 - 44", IF(Table2[[#This Row],[Age]]&lt;=54, "45 - 54", "55 - 59"))))</f>
        <v>45 - 54</v>
      </c>
      <c r="K652" t="str">
        <f>IF(Table2[[#This Row],[Age]]&lt;=24, "Young Adults", IF(Table2[[#This Row],[Age]]&lt;=34, "Early Career", IF(Table2[[#This Row],[Age]]&lt;=44, "Mid Career", IF(Table2[[#This Row],[Age]]&lt;=54, "Mature Adults", "Pre-retirment"))))</f>
        <v>Mature Adults</v>
      </c>
      <c r="L652" t="s">
        <v>13</v>
      </c>
      <c r="M652">
        <v>2</v>
      </c>
      <c r="N652" t="str">
        <f t="shared" si="10"/>
        <v>Light User</v>
      </c>
    </row>
    <row r="653" spans="1:14" x14ac:dyDescent="0.25">
      <c r="A653">
        <v>652</v>
      </c>
      <c r="B653" t="s">
        <v>17</v>
      </c>
      <c r="C653" t="s">
        <v>18</v>
      </c>
      <c r="D653">
        <v>69</v>
      </c>
      <c r="E653">
        <v>1.7</v>
      </c>
      <c r="F653">
        <v>519</v>
      </c>
      <c r="G653">
        <v>10</v>
      </c>
      <c r="H653">
        <v>167</v>
      </c>
      <c r="I653">
        <v>51</v>
      </c>
      <c r="J653" t="str">
        <f>IF(Table2[[#This Row],[Age]]&lt;=24, "18 - 24", IF(Table2[[#This Row],[Age]]&lt;=34, "25 - 34", IF(Table2[[#This Row],[Age]]&lt;=44, "35 - 44", IF(Table2[[#This Row],[Age]]&lt;=54, "45 - 54", "55 - 59"))))</f>
        <v>45 - 54</v>
      </c>
      <c r="K653" t="str">
        <f>IF(Table2[[#This Row],[Age]]&lt;=24, "Young Adults", IF(Table2[[#This Row],[Age]]&lt;=34, "Early Career", IF(Table2[[#This Row],[Age]]&lt;=44, "Mid Career", IF(Table2[[#This Row],[Age]]&lt;=54, "Mature Adults", "Pre-retirment"))))</f>
        <v>Mature Adults</v>
      </c>
      <c r="L653" t="s">
        <v>15</v>
      </c>
      <c r="M653">
        <v>1</v>
      </c>
      <c r="N653" t="str">
        <f t="shared" si="10"/>
        <v>Light User</v>
      </c>
    </row>
    <row r="654" spans="1:14" x14ac:dyDescent="0.25">
      <c r="A654">
        <v>653</v>
      </c>
      <c r="B654" t="s">
        <v>16</v>
      </c>
      <c r="C654" t="s">
        <v>12</v>
      </c>
      <c r="D654">
        <v>206</v>
      </c>
      <c r="E654">
        <v>5.2</v>
      </c>
      <c r="F654">
        <v>1632</v>
      </c>
      <c r="G654">
        <v>47</v>
      </c>
      <c r="H654">
        <v>694</v>
      </c>
      <c r="I654">
        <v>30</v>
      </c>
      <c r="J654" t="str">
        <f>IF(Table2[[#This Row],[Age]]&lt;=24, "18 - 24", IF(Table2[[#This Row],[Age]]&lt;=34, "25 - 34", IF(Table2[[#This Row],[Age]]&lt;=44, "35 - 44", IF(Table2[[#This Row],[Age]]&lt;=54, "45 - 54", "55 - 59"))))</f>
        <v>25 - 34</v>
      </c>
      <c r="K654" t="str">
        <f>IF(Table2[[#This Row],[Age]]&lt;=24, "Young Adults", IF(Table2[[#This Row],[Age]]&lt;=34, "Early Career", IF(Table2[[#This Row],[Age]]&lt;=44, "Mid Career", IF(Table2[[#This Row],[Age]]&lt;=54, "Mature Adults", "Pre-retirment"))))</f>
        <v>Early Career</v>
      </c>
      <c r="L654" t="s">
        <v>13</v>
      </c>
      <c r="M654">
        <v>3</v>
      </c>
      <c r="N654" t="str">
        <f t="shared" si="10"/>
        <v>Moderate User</v>
      </c>
    </row>
    <row r="655" spans="1:14" x14ac:dyDescent="0.25">
      <c r="A655">
        <v>654</v>
      </c>
      <c r="B655" t="s">
        <v>19</v>
      </c>
      <c r="C655" t="s">
        <v>12</v>
      </c>
      <c r="D655">
        <v>49</v>
      </c>
      <c r="E655">
        <v>1.2</v>
      </c>
      <c r="F655">
        <v>365</v>
      </c>
      <c r="G655">
        <v>19</v>
      </c>
      <c r="H655">
        <v>144</v>
      </c>
      <c r="I655">
        <v>29</v>
      </c>
      <c r="J655" t="str">
        <f>IF(Table2[[#This Row],[Age]]&lt;=24, "18 - 24", IF(Table2[[#This Row],[Age]]&lt;=34, "25 - 34", IF(Table2[[#This Row],[Age]]&lt;=44, "35 - 44", IF(Table2[[#This Row],[Age]]&lt;=54, "45 - 54", "55 - 59"))))</f>
        <v>25 - 34</v>
      </c>
      <c r="K655" t="str">
        <f>IF(Table2[[#This Row],[Age]]&lt;=24, "Young Adults", IF(Table2[[#This Row],[Age]]&lt;=34, "Early Career", IF(Table2[[#This Row],[Age]]&lt;=44, "Mid Career", IF(Table2[[#This Row],[Age]]&lt;=54, "Mature Adults", "Pre-retirment"))))</f>
        <v>Early Career</v>
      </c>
      <c r="L655" t="s">
        <v>13</v>
      </c>
      <c r="M655">
        <v>1</v>
      </c>
      <c r="N655" t="str">
        <f t="shared" si="10"/>
        <v>Light User</v>
      </c>
    </row>
    <row r="656" spans="1:14" x14ac:dyDescent="0.25">
      <c r="A656">
        <v>655</v>
      </c>
      <c r="B656" t="s">
        <v>11</v>
      </c>
      <c r="C656" t="s">
        <v>12</v>
      </c>
      <c r="D656">
        <v>594</v>
      </c>
      <c r="E656">
        <v>10.5</v>
      </c>
      <c r="F656">
        <v>2839</v>
      </c>
      <c r="G656">
        <v>91</v>
      </c>
      <c r="H656">
        <v>1647</v>
      </c>
      <c r="I656">
        <v>56</v>
      </c>
      <c r="J656" t="str">
        <f>IF(Table2[[#This Row],[Age]]&lt;=24, "18 - 24", IF(Table2[[#This Row],[Age]]&lt;=34, "25 - 34", IF(Table2[[#This Row],[Age]]&lt;=44, "35 - 44", IF(Table2[[#This Row],[Age]]&lt;=54, "45 - 54", "55 - 59"))))</f>
        <v>55 - 59</v>
      </c>
      <c r="K656" t="str">
        <f>IF(Table2[[#This Row],[Age]]&lt;=24, "Young Adults", IF(Table2[[#This Row],[Age]]&lt;=34, "Early Career", IF(Table2[[#This Row],[Age]]&lt;=44, "Mid Career", IF(Table2[[#This Row],[Age]]&lt;=54, "Mature Adults", "Pre-retirment"))))</f>
        <v>Pre-retirment</v>
      </c>
      <c r="L656" t="s">
        <v>13</v>
      </c>
      <c r="M656">
        <v>5</v>
      </c>
      <c r="N656" t="str">
        <f t="shared" si="10"/>
        <v>Heavy User</v>
      </c>
    </row>
    <row r="657" spans="1:14" x14ac:dyDescent="0.25">
      <c r="A657">
        <v>656</v>
      </c>
      <c r="B657" t="s">
        <v>11</v>
      </c>
      <c r="C657" t="s">
        <v>12</v>
      </c>
      <c r="D657">
        <v>104</v>
      </c>
      <c r="E657">
        <v>3.7</v>
      </c>
      <c r="F657">
        <v>1028</v>
      </c>
      <c r="G657">
        <v>29</v>
      </c>
      <c r="H657">
        <v>493</v>
      </c>
      <c r="I657">
        <v>39</v>
      </c>
      <c r="J657" t="str">
        <f>IF(Table2[[#This Row],[Age]]&lt;=24, "18 - 24", IF(Table2[[#This Row],[Age]]&lt;=34, "25 - 34", IF(Table2[[#This Row],[Age]]&lt;=44, "35 - 44", IF(Table2[[#This Row],[Age]]&lt;=54, "45 - 54", "55 - 59"))))</f>
        <v>35 - 44</v>
      </c>
      <c r="K657" t="str">
        <f>IF(Table2[[#This Row],[Age]]&lt;=24, "Young Adults", IF(Table2[[#This Row],[Age]]&lt;=34, "Early Career", IF(Table2[[#This Row],[Age]]&lt;=44, "Mid Career", IF(Table2[[#This Row],[Age]]&lt;=54, "Mature Adults", "Pre-retirment"))))</f>
        <v>Mid Career</v>
      </c>
      <c r="L657" t="s">
        <v>13</v>
      </c>
      <c r="M657">
        <v>2</v>
      </c>
      <c r="N657" t="str">
        <f t="shared" si="10"/>
        <v>Light User</v>
      </c>
    </row>
    <row r="658" spans="1:14" x14ac:dyDescent="0.25">
      <c r="A658">
        <v>657</v>
      </c>
      <c r="B658" t="s">
        <v>11</v>
      </c>
      <c r="C658" t="s">
        <v>12</v>
      </c>
      <c r="D658">
        <v>262</v>
      </c>
      <c r="E658">
        <v>5.6</v>
      </c>
      <c r="F658">
        <v>1489</v>
      </c>
      <c r="G658">
        <v>59</v>
      </c>
      <c r="H658">
        <v>628</v>
      </c>
      <c r="I658">
        <v>54</v>
      </c>
      <c r="J658" t="str">
        <f>IF(Table2[[#This Row],[Age]]&lt;=24, "18 - 24", IF(Table2[[#This Row],[Age]]&lt;=34, "25 - 34", IF(Table2[[#This Row],[Age]]&lt;=44, "35 - 44", IF(Table2[[#This Row],[Age]]&lt;=54, "45 - 54", "55 - 59"))))</f>
        <v>45 - 54</v>
      </c>
      <c r="K658" t="str">
        <f>IF(Table2[[#This Row],[Age]]&lt;=24, "Young Adults", IF(Table2[[#This Row],[Age]]&lt;=34, "Early Career", IF(Table2[[#This Row],[Age]]&lt;=44, "Mid Career", IF(Table2[[#This Row],[Age]]&lt;=54, "Mature Adults", "Pre-retirment"))))</f>
        <v>Mature Adults</v>
      </c>
      <c r="L658" t="s">
        <v>15</v>
      </c>
      <c r="M658">
        <v>3</v>
      </c>
      <c r="N658" t="str">
        <f t="shared" si="10"/>
        <v>Moderate User</v>
      </c>
    </row>
    <row r="659" spans="1:14" x14ac:dyDescent="0.25">
      <c r="A659">
        <v>658</v>
      </c>
      <c r="B659" t="s">
        <v>16</v>
      </c>
      <c r="C659" t="s">
        <v>12</v>
      </c>
      <c r="D659">
        <v>278</v>
      </c>
      <c r="E659">
        <v>5.3</v>
      </c>
      <c r="F659">
        <v>1368</v>
      </c>
      <c r="G659">
        <v>56</v>
      </c>
      <c r="H659">
        <v>894</v>
      </c>
      <c r="I659">
        <v>40</v>
      </c>
      <c r="J659" t="str">
        <f>IF(Table2[[#This Row],[Age]]&lt;=24, "18 - 24", IF(Table2[[#This Row],[Age]]&lt;=34, "25 - 34", IF(Table2[[#This Row],[Age]]&lt;=44, "35 - 44", IF(Table2[[#This Row],[Age]]&lt;=54, "45 - 54", "55 - 59"))))</f>
        <v>35 - 44</v>
      </c>
      <c r="K659" t="str">
        <f>IF(Table2[[#This Row],[Age]]&lt;=24, "Young Adults", IF(Table2[[#This Row],[Age]]&lt;=34, "Early Career", IF(Table2[[#This Row],[Age]]&lt;=44, "Mid Career", IF(Table2[[#This Row],[Age]]&lt;=54, "Mature Adults", "Pre-retirment"))))</f>
        <v>Mid Career</v>
      </c>
      <c r="L659" t="s">
        <v>15</v>
      </c>
      <c r="M659">
        <v>3</v>
      </c>
      <c r="N659" t="str">
        <f t="shared" si="10"/>
        <v>Moderate User</v>
      </c>
    </row>
    <row r="660" spans="1:14" x14ac:dyDescent="0.25">
      <c r="A660">
        <v>659</v>
      </c>
      <c r="B660" t="s">
        <v>16</v>
      </c>
      <c r="C660" t="s">
        <v>12</v>
      </c>
      <c r="D660">
        <v>463</v>
      </c>
      <c r="E660">
        <v>6.8</v>
      </c>
      <c r="F660">
        <v>2358</v>
      </c>
      <c r="G660">
        <v>68</v>
      </c>
      <c r="H660">
        <v>1236</v>
      </c>
      <c r="I660">
        <v>43</v>
      </c>
      <c r="J660" t="str">
        <f>IF(Table2[[#This Row],[Age]]&lt;=24, "18 - 24", IF(Table2[[#This Row],[Age]]&lt;=34, "25 - 34", IF(Table2[[#This Row],[Age]]&lt;=44, "35 - 44", IF(Table2[[#This Row],[Age]]&lt;=54, "45 - 54", "55 - 59"))))</f>
        <v>35 - 44</v>
      </c>
      <c r="K660" t="str">
        <f>IF(Table2[[#This Row],[Age]]&lt;=24, "Young Adults", IF(Table2[[#This Row],[Age]]&lt;=34, "Early Career", IF(Table2[[#This Row],[Age]]&lt;=44, "Mid Career", IF(Table2[[#This Row],[Age]]&lt;=54, "Mature Adults", "Pre-retirment"))))</f>
        <v>Mid Career</v>
      </c>
      <c r="L660" t="s">
        <v>15</v>
      </c>
      <c r="M660">
        <v>4</v>
      </c>
      <c r="N660" t="str">
        <f t="shared" si="10"/>
        <v>Heavy User</v>
      </c>
    </row>
    <row r="661" spans="1:14" x14ac:dyDescent="0.25">
      <c r="A661">
        <v>660</v>
      </c>
      <c r="B661" t="s">
        <v>16</v>
      </c>
      <c r="C661" t="s">
        <v>12</v>
      </c>
      <c r="D661">
        <v>505</v>
      </c>
      <c r="E661">
        <v>9.6</v>
      </c>
      <c r="F661">
        <v>2464</v>
      </c>
      <c r="G661">
        <v>91</v>
      </c>
      <c r="H661">
        <v>2375</v>
      </c>
      <c r="I661">
        <v>35</v>
      </c>
      <c r="J661" t="str">
        <f>IF(Table2[[#This Row],[Age]]&lt;=24, "18 - 24", IF(Table2[[#This Row],[Age]]&lt;=34, "25 - 34", IF(Table2[[#This Row],[Age]]&lt;=44, "35 - 44", IF(Table2[[#This Row],[Age]]&lt;=54, "45 - 54", "55 - 59"))))</f>
        <v>35 - 44</v>
      </c>
      <c r="K661" t="str">
        <f>IF(Table2[[#This Row],[Age]]&lt;=24, "Young Adults", IF(Table2[[#This Row],[Age]]&lt;=34, "Early Career", IF(Table2[[#This Row],[Age]]&lt;=44, "Mid Career", IF(Table2[[#This Row],[Age]]&lt;=54, "Mature Adults", "Pre-retirment"))))</f>
        <v>Mid Career</v>
      </c>
      <c r="L661" t="s">
        <v>13</v>
      </c>
      <c r="M661">
        <v>5</v>
      </c>
      <c r="N661" t="str">
        <f t="shared" si="10"/>
        <v>Heavy User</v>
      </c>
    </row>
    <row r="662" spans="1:14" x14ac:dyDescent="0.25">
      <c r="A662">
        <v>661</v>
      </c>
      <c r="B662" t="s">
        <v>11</v>
      </c>
      <c r="C662" t="s">
        <v>12</v>
      </c>
      <c r="D662">
        <v>50</v>
      </c>
      <c r="E662">
        <v>1.5</v>
      </c>
      <c r="F662">
        <v>387</v>
      </c>
      <c r="G662">
        <v>12</v>
      </c>
      <c r="H662">
        <v>146</v>
      </c>
      <c r="I662">
        <v>59</v>
      </c>
      <c r="J662" t="str">
        <f>IF(Table2[[#This Row],[Age]]&lt;=24, "18 - 24", IF(Table2[[#This Row],[Age]]&lt;=34, "25 - 34", IF(Table2[[#This Row],[Age]]&lt;=44, "35 - 44", IF(Table2[[#This Row],[Age]]&lt;=54, "45 - 54", "55 - 59"))))</f>
        <v>55 - 59</v>
      </c>
      <c r="K662" t="str">
        <f>IF(Table2[[#This Row],[Age]]&lt;=24, "Young Adults", IF(Table2[[#This Row],[Age]]&lt;=34, "Early Career", IF(Table2[[#This Row],[Age]]&lt;=44, "Mid Career", IF(Table2[[#This Row],[Age]]&lt;=54, "Mature Adults", "Pre-retirment"))))</f>
        <v>Pre-retirment</v>
      </c>
      <c r="L662" t="s">
        <v>13</v>
      </c>
      <c r="M662">
        <v>1</v>
      </c>
      <c r="N662" t="str">
        <f t="shared" si="10"/>
        <v>Light User</v>
      </c>
    </row>
    <row r="663" spans="1:14" x14ac:dyDescent="0.25">
      <c r="A663">
        <v>662</v>
      </c>
      <c r="B663" t="s">
        <v>16</v>
      </c>
      <c r="C663" t="s">
        <v>12</v>
      </c>
      <c r="D663">
        <v>138</v>
      </c>
      <c r="E663">
        <v>3.1</v>
      </c>
      <c r="F663">
        <v>947</v>
      </c>
      <c r="G663">
        <v>29</v>
      </c>
      <c r="H663">
        <v>545</v>
      </c>
      <c r="I663">
        <v>48</v>
      </c>
      <c r="J663" t="str">
        <f>IF(Table2[[#This Row],[Age]]&lt;=24, "18 - 24", IF(Table2[[#This Row],[Age]]&lt;=34, "25 - 34", IF(Table2[[#This Row],[Age]]&lt;=44, "35 - 44", IF(Table2[[#This Row],[Age]]&lt;=54, "45 - 54", "55 - 59"))))</f>
        <v>45 - 54</v>
      </c>
      <c r="K663" t="str">
        <f>IF(Table2[[#This Row],[Age]]&lt;=24, "Young Adults", IF(Table2[[#This Row],[Age]]&lt;=34, "Early Career", IF(Table2[[#This Row],[Age]]&lt;=44, "Mid Career", IF(Table2[[#This Row],[Age]]&lt;=54, "Mature Adults", "Pre-retirment"))))</f>
        <v>Mature Adults</v>
      </c>
      <c r="L663" t="s">
        <v>13</v>
      </c>
      <c r="M663">
        <v>2</v>
      </c>
      <c r="N663" t="str">
        <f t="shared" si="10"/>
        <v>Light User</v>
      </c>
    </row>
    <row r="664" spans="1:14" x14ac:dyDescent="0.25">
      <c r="A664">
        <v>663</v>
      </c>
      <c r="B664" t="s">
        <v>16</v>
      </c>
      <c r="C664" t="s">
        <v>12</v>
      </c>
      <c r="D664">
        <v>130</v>
      </c>
      <c r="E664">
        <v>3.2</v>
      </c>
      <c r="F664">
        <v>1189</v>
      </c>
      <c r="G664">
        <v>37</v>
      </c>
      <c r="H664">
        <v>448</v>
      </c>
      <c r="I664">
        <v>45</v>
      </c>
      <c r="J664" t="str">
        <f>IF(Table2[[#This Row],[Age]]&lt;=24, "18 - 24", IF(Table2[[#This Row],[Age]]&lt;=34, "25 - 34", IF(Table2[[#This Row],[Age]]&lt;=44, "35 - 44", IF(Table2[[#This Row],[Age]]&lt;=54, "45 - 54", "55 - 59"))))</f>
        <v>45 - 54</v>
      </c>
      <c r="K664" t="str">
        <f>IF(Table2[[#This Row],[Age]]&lt;=24, "Young Adults", IF(Table2[[#This Row],[Age]]&lt;=34, "Early Career", IF(Table2[[#This Row],[Age]]&lt;=44, "Mid Career", IF(Table2[[#This Row],[Age]]&lt;=54, "Mature Adults", "Pre-retirment"))))</f>
        <v>Mature Adults</v>
      </c>
      <c r="L664" t="s">
        <v>13</v>
      </c>
      <c r="M664">
        <v>2</v>
      </c>
      <c r="N664" t="str">
        <f t="shared" si="10"/>
        <v>Light User</v>
      </c>
    </row>
    <row r="665" spans="1:14" x14ac:dyDescent="0.25">
      <c r="A665">
        <v>664</v>
      </c>
      <c r="B665" t="s">
        <v>11</v>
      </c>
      <c r="C665" t="s">
        <v>12</v>
      </c>
      <c r="D665">
        <v>469</v>
      </c>
      <c r="E665">
        <v>6.4</v>
      </c>
      <c r="F665">
        <v>1858</v>
      </c>
      <c r="G665">
        <v>78</v>
      </c>
      <c r="H665">
        <v>1297</v>
      </c>
      <c r="I665">
        <v>55</v>
      </c>
      <c r="J665" t="str">
        <f>IF(Table2[[#This Row],[Age]]&lt;=24, "18 - 24", IF(Table2[[#This Row],[Age]]&lt;=34, "25 - 34", IF(Table2[[#This Row],[Age]]&lt;=44, "35 - 44", IF(Table2[[#This Row],[Age]]&lt;=54, "45 - 54", "55 - 59"))))</f>
        <v>55 - 59</v>
      </c>
      <c r="K665" t="str">
        <f>IF(Table2[[#This Row],[Age]]&lt;=24, "Young Adults", IF(Table2[[#This Row],[Age]]&lt;=34, "Early Career", IF(Table2[[#This Row],[Age]]&lt;=44, "Mid Career", IF(Table2[[#This Row],[Age]]&lt;=54, "Mature Adults", "Pre-retirment"))))</f>
        <v>Pre-retirment</v>
      </c>
      <c r="L665" t="s">
        <v>15</v>
      </c>
      <c r="M665">
        <v>4</v>
      </c>
      <c r="N665" t="str">
        <f t="shared" si="10"/>
        <v>Heavy User</v>
      </c>
    </row>
    <row r="666" spans="1:14" x14ac:dyDescent="0.25">
      <c r="A666">
        <v>665</v>
      </c>
      <c r="B666" t="s">
        <v>16</v>
      </c>
      <c r="C666" t="s">
        <v>12</v>
      </c>
      <c r="D666">
        <v>555</v>
      </c>
      <c r="E666">
        <v>10.3</v>
      </c>
      <c r="F666">
        <v>2568</v>
      </c>
      <c r="G666">
        <v>83</v>
      </c>
      <c r="H666">
        <v>2003</v>
      </c>
      <c r="I666">
        <v>52</v>
      </c>
      <c r="J666" t="str">
        <f>IF(Table2[[#This Row],[Age]]&lt;=24, "18 - 24", IF(Table2[[#This Row],[Age]]&lt;=34, "25 - 34", IF(Table2[[#This Row],[Age]]&lt;=44, "35 - 44", IF(Table2[[#This Row],[Age]]&lt;=54, "45 - 54", "55 - 59"))))</f>
        <v>45 - 54</v>
      </c>
      <c r="K666" t="str">
        <f>IF(Table2[[#This Row],[Age]]&lt;=24, "Young Adults", IF(Table2[[#This Row],[Age]]&lt;=34, "Early Career", IF(Table2[[#This Row],[Age]]&lt;=44, "Mid Career", IF(Table2[[#This Row],[Age]]&lt;=54, "Mature Adults", "Pre-retirment"))))</f>
        <v>Mature Adults</v>
      </c>
      <c r="L666" t="s">
        <v>13</v>
      </c>
      <c r="M666">
        <v>5</v>
      </c>
      <c r="N666" t="str">
        <f t="shared" si="10"/>
        <v>Heavy User</v>
      </c>
    </row>
    <row r="667" spans="1:14" x14ac:dyDescent="0.25">
      <c r="A667">
        <v>666</v>
      </c>
      <c r="B667" t="s">
        <v>17</v>
      </c>
      <c r="C667" t="s">
        <v>18</v>
      </c>
      <c r="D667">
        <v>198</v>
      </c>
      <c r="E667">
        <v>5.4</v>
      </c>
      <c r="F667">
        <v>1544</v>
      </c>
      <c r="G667">
        <v>53</v>
      </c>
      <c r="H667">
        <v>635</v>
      </c>
      <c r="I667">
        <v>53</v>
      </c>
      <c r="J667" t="str">
        <f>IF(Table2[[#This Row],[Age]]&lt;=24, "18 - 24", IF(Table2[[#This Row],[Age]]&lt;=34, "25 - 34", IF(Table2[[#This Row],[Age]]&lt;=44, "35 - 44", IF(Table2[[#This Row],[Age]]&lt;=54, "45 - 54", "55 - 59"))))</f>
        <v>45 - 54</v>
      </c>
      <c r="K667" t="str">
        <f>IF(Table2[[#This Row],[Age]]&lt;=24, "Young Adults", IF(Table2[[#This Row],[Age]]&lt;=34, "Early Career", IF(Table2[[#This Row],[Age]]&lt;=44, "Mid Career", IF(Table2[[#This Row],[Age]]&lt;=54, "Mature Adults", "Pre-retirment"))))</f>
        <v>Mature Adults</v>
      </c>
      <c r="L667" t="s">
        <v>13</v>
      </c>
      <c r="M667">
        <v>3</v>
      </c>
      <c r="N667" t="str">
        <f t="shared" si="10"/>
        <v>Moderate User</v>
      </c>
    </row>
    <row r="668" spans="1:14" x14ac:dyDescent="0.25">
      <c r="A668">
        <v>667</v>
      </c>
      <c r="B668" t="s">
        <v>19</v>
      </c>
      <c r="C668" t="s">
        <v>12</v>
      </c>
      <c r="D668">
        <v>529</v>
      </c>
      <c r="E668">
        <v>11.4</v>
      </c>
      <c r="F668">
        <v>2891</v>
      </c>
      <c r="G668">
        <v>82</v>
      </c>
      <c r="H668">
        <v>1845</v>
      </c>
      <c r="I668">
        <v>46</v>
      </c>
      <c r="J668" t="str">
        <f>IF(Table2[[#This Row],[Age]]&lt;=24, "18 - 24", IF(Table2[[#This Row],[Age]]&lt;=34, "25 - 34", IF(Table2[[#This Row],[Age]]&lt;=44, "35 - 44", IF(Table2[[#This Row],[Age]]&lt;=54, "45 - 54", "55 - 59"))))</f>
        <v>45 - 54</v>
      </c>
      <c r="K668" t="str">
        <f>IF(Table2[[#This Row],[Age]]&lt;=24, "Young Adults", IF(Table2[[#This Row],[Age]]&lt;=34, "Early Career", IF(Table2[[#This Row],[Age]]&lt;=44, "Mid Career", IF(Table2[[#This Row],[Age]]&lt;=54, "Mature Adults", "Pre-retirment"))))</f>
        <v>Mature Adults</v>
      </c>
      <c r="L668" t="s">
        <v>13</v>
      </c>
      <c r="M668">
        <v>5</v>
      </c>
      <c r="N668" t="str">
        <f t="shared" si="10"/>
        <v>Heavy User</v>
      </c>
    </row>
    <row r="669" spans="1:14" x14ac:dyDescent="0.25">
      <c r="A669">
        <v>668</v>
      </c>
      <c r="B669" t="s">
        <v>19</v>
      </c>
      <c r="C669" t="s">
        <v>12</v>
      </c>
      <c r="D669">
        <v>205</v>
      </c>
      <c r="E669">
        <v>5.5</v>
      </c>
      <c r="F669">
        <v>1699</v>
      </c>
      <c r="G669">
        <v>49</v>
      </c>
      <c r="H669">
        <v>729</v>
      </c>
      <c r="I669">
        <v>36</v>
      </c>
      <c r="J669" t="str">
        <f>IF(Table2[[#This Row],[Age]]&lt;=24, "18 - 24", IF(Table2[[#This Row],[Age]]&lt;=34, "25 - 34", IF(Table2[[#This Row],[Age]]&lt;=44, "35 - 44", IF(Table2[[#This Row],[Age]]&lt;=54, "45 - 54", "55 - 59"))))</f>
        <v>35 - 44</v>
      </c>
      <c r="K669" t="str">
        <f>IF(Table2[[#This Row],[Age]]&lt;=24, "Young Adults", IF(Table2[[#This Row],[Age]]&lt;=34, "Early Career", IF(Table2[[#This Row],[Age]]&lt;=44, "Mid Career", IF(Table2[[#This Row],[Age]]&lt;=54, "Mature Adults", "Pre-retirment"))))</f>
        <v>Mid Career</v>
      </c>
      <c r="L669" t="s">
        <v>13</v>
      </c>
      <c r="M669">
        <v>3</v>
      </c>
      <c r="N669" t="str">
        <f t="shared" si="10"/>
        <v>Moderate User</v>
      </c>
    </row>
    <row r="670" spans="1:14" x14ac:dyDescent="0.25">
      <c r="A670">
        <v>669</v>
      </c>
      <c r="B670" t="s">
        <v>17</v>
      </c>
      <c r="C670" t="s">
        <v>18</v>
      </c>
      <c r="D670">
        <v>170</v>
      </c>
      <c r="E670">
        <v>2.4</v>
      </c>
      <c r="F670">
        <v>1039</v>
      </c>
      <c r="G670">
        <v>38</v>
      </c>
      <c r="H670">
        <v>334</v>
      </c>
      <c r="I670">
        <v>23</v>
      </c>
      <c r="J670" t="str">
        <f>IF(Table2[[#This Row],[Age]]&lt;=24, "18 - 24", IF(Table2[[#This Row],[Age]]&lt;=34, "25 - 34", IF(Table2[[#This Row],[Age]]&lt;=44, "35 - 44", IF(Table2[[#This Row],[Age]]&lt;=54, "45 - 54", "55 - 59"))))</f>
        <v>18 - 24</v>
      </c>
      <c r="K670" t="str">
        <f>IF(Table2[[#This Row],[Age]]&lt;=24, "Young Adults", IF(Table2[[#This Row],[Age]]&lt;=34, "Early Career", IF(Table2[[#This Row],[Age]]&lt;=44, "Mid Career", IF(Table2[[#This Row],[Age]]&lt;=54, "Mature Adults", "Pre-retirment"))))</f>
        <v>Young Adults</v>
      </c>
      <c r="L670" t="s">
        <v>13</v>
      </c>
      <c r="M670">
        <v>2</v>
      </c>
      <c r="N670" t="str">
        <f t="shared" si="10"/>
        <v>Light User</v>
      </c>
    </row>
    <row r="671" spans="1:14" x14ac:dyDescent="0.25">
      <c r="A671">
        <v>670</v>
      </c>
      <c r="B671" t="s">
        <v>19</v>
      </c>
      <c r="C671" t="s">
        <v>12</v>
      </c>
      <c r="D671">
        <v>160</v>
      </c>
      <c r="E671">
        <v>3.2</v>
      </c>
      <c r="F671">
        <v>648</v>
      </c>
      <c r="G671">
        <v>31</v>
      </c>
      <c r="H671">
        <v>339</v>
      </c>
      <c r="I671">
        <v>27</v>
      </c>
      <c r="J671" t="str">
        <f>IF(Table2[[#This Row],[Age]]&lt;=24, "18 - 24", IF(Table2[[#This Row],[Age]]&lt;=34, "25 - 34", IF(Table2[[#This Row],[Age]]&lt;=44, "35 - 44", IF(Table2[[#This Row],[Age]]&lt;=54, "45 - 54", "55 - 59"))))</f>
        <v>25 - 34</v>
      </c>
      <c r="K671" t="str">
        <f>IF(Table2[[#This Row],[Age]]&lt;=24, "Young Adults", IF(Table2[[#This Row],[Age]]&lt;=34, "Early Career", IF(Table2[[#This Row],[Age]]&lt;=44, "Mid Career", IF(Table2[[#This Row],[Age]]&lt;=54, "Mature Adults", "Pre-retirment"))))</f>
        <v>Early Career</v>
      </c>
      <c r="L671" t="s">
        <v>15</v>
      </c>
      <c r="M671">
        <v>2</v>
      </c>
      <c r="N671" t="str">
        <f t="shared" si="10"/>
        <v>Light User</v>
      </c>
    </row>
    <row r="672" spans="1:14" x14ac:dyDescent="0.25">
      <c r="A672">
        <v>671</v>
      </c>
      <c r="B672" t="s">
        <v>17</v>
      </c>
      <c r="C672" t="s">
        <v>18</v>
      </c>
      <c r="D672">
        <v>81</v>
      </c>
      <c r="E672">
        <v>1.6</v>
      </c>
      <c r="F672">
        <v>387</v>
      </c>
      <c r="G672">
        <v>13</v>
      </c>
      <c r="H672">
        <v>224</v>
      </c>
      <c r="I672">
        <v>48</v>
      </c>
      <c r="J672" t="str">
        <f>IF(Table2[[#This Row],[Age]]&lt;=24, "18 - 24", IF(Table2[[#This Row],[Age]]&lt;=34, "25 - 34", IF(Table2[[#This Row],[Age]]&lt;=44, "35 - 44", IF(Table2[[#This Row],[Age]]&lt;=54, "45 - 54", "55 - 59"))))</f>
        <v>45 - 54</v>
      </c>
      <c r="K672" t="str">
        <f>IF(Table2[[#This Row],[Age]]&lt;=24, "Young Adults", IF(Table2[[#This Row],[Age]]&lt;=34, "Early Career", IF(Table2[[#This Row],[Age]]&lt;=44, "Mid Career", IF(Table2[[#This Row],[Age]]&lt;=54, "Mature Adults", "Pre-retirment"))))</f>
        <v>Mature Adults</v>
      </c>
      <c r="L672" t="s">
        <v>13</v>
      </c>
      <c r="M672">
        <v>1</v>
      </c>
      <c r="N672" t="str">
        <f t="shared" si="10"/>
        <v>Light User</v>
      </c>
    </row>
    <row r="673" spans="1:14" x14ac:dyDescent="0.25">
      <c r="A673">
        <v>672</v>
      </c>
      <c r="B673" t="s">
        <v>11</v>
      </c>
      <c r="C673" t="s">
        <v>12</v>
      </c>
      <c r="D673">
        <v>468</v>
      </c>
      <c r="E673">
        <v>7.3</v>
      </c>
      <c r="F673">
        <v>1937</v>
      </c>
      <c r="G673">
        <v>64</v>
      </c>
      <c r="H673">
        <v>1209</v>
      </c>
      <c r="I673">
        <v>22</v>
      </c>
      <c r="J673" t="str">
        <f>IF(Table2[[#This Row],[Age]]&lt;=24, "18 - 24", IF(Table2[[#This Row],[Age]]&lt;=34, "25 - 34", IF(Table2[[#This Row],[Age]]&lt;=44, "35 - 44", IF(Table2[[#This Row],[Age]]&lt;=54, "45 - 54", "55 - 59"))))</f>
        <v>18 - 24</v>
      </c>
      <c r="K673" t="str">
        <f>IF(Table2[[#This Row],[Age]]&lt;=24, "Young Adults", IF(Table2[[#This Row],[Age]]&lt;=34, "Early Career", IF(Table2[[#This Row],[Age]]&lt;=44, "Mid Career", IF(Table2[[#This Row],[Age]]&lt;=54, "Mature Adults", "Pre-retirment"))))</f>
        <v>Young Adults</v>
      </c>
      <c r="L673" t="s">
        <v>13</v>
      </c>
      <c r="M673">
        <v>4</v>
      </c>
      <c r="N673" t="str">
        <f t="shared" si="10"/>
        <v>Heavy User</v>
      </c>
    </row>
    <row r="674" spans="1:14" x14ac:dyDescent="0.25">
      <c r="A674">
        <v>673</v>
      </c>
      <c r="B674" t="s">
        <v>16</v>
      </c>
      <c r="C674" t="s">
        <v>12</v>
      </c>
      <c r="D674">
        <v>500</v>
      </c>
      <c r="E674">
        <v>11.2</v>
      </c>
      <c r="F674">
        <v>2925</v>
      </c>
      <c r="G674">
        <v>84</v>
      </c>
      <c r="H674">
        <v>2438</v>
      </c>
      <c r="I674">
        <v>27</v>
      </c>
      <c r="J674" t="str">
        <f>IF(Table2[[#This Row],[Age]]&lt;=24, "18 - 24", IF(Table2[[#This Row],[Age]]&lt;=34, "25 - 34", IF(Table2[[#This Row],[Age]]&lt;=44, "35 - 44", IF(Table2[[#This Row],[Age]]&lt;=54, "45 - 54", "55 - 59"))))</f>
        <v>25 - 34</v>
      </c>
      <c r="K674" t="str">
        <f>IF(Table2[[#This Row],[Age]]&lt;=24, "Young Adults", IF(Table2[[#This Row],[Age]]&lt;=34, "Early Career", IF(Table2[[#This Row],[Age]]&lt;=44, "Mid Career", IF(Table2[[#This Row],[Age]]&lt;=54, "Mature Adults", "Pre-retirment"))))</f>
        <v>Early Career</v>
      </c>
      <c r="L674" t="s">
        <v>13</v>
      </c>
      <c r="M674">
        <v>5</v>
      </c>
      <c r="N674" t="str">
        <f t="shared" si="10"/>
        <v>Heavy User</v>
      </c>
    </row>
    <row r="675" spans="1:14" x14ac:dyDescent="0.25">
      <c r="A675">
        <v>674</v>
      </c>
      <c r="B675" t="s">
        <v>11</v>
      </c>
      <c r="C675" t="s">
        <v>12</v>
      </c>
      <c r="D675">
        <v>37</v>
      </c>
      <c r="E675">
        <v>1.6</v>
      </c>
      <c r="F675">
        <v>490</v>
      </c>
      <c r="G675">
        <v>18</v>
      </c>
      <c r="H675">
        <v>216</v>
      </c>
      <c r="I675">
        <v>52</v>
      </c>
      <c r="J675" t="str">
        <f>IF(Table2[[#This Row],[Age]]&lt;=24, "18 - 24", IF(Table2[[#This Row],[Age]]&lt;=34, "25 - 34", IF(Table2[[#This Row],[Age]]&lt;=44, "35 - 44", IF(Table2[[#This Row],[Age]]&lt;=54, "45 - 54", "55 - 59"))))</f>
        <v>45 - 54</v>
      </c>
      <c r="K675" t="str">
        <f>IF(Table2[[#This Row],[Age]]&lt;=24, "Young Adults", IF(Table2[[#This Row],[Age]]&lt;=34, "Early Career", IF(Table2[[#This Row],[Age]]&lt;=44, "Mid Career", IF(Table2[[#This Row],[Age]]&lt;=54, "Mature Adults", "Pre-retirment"))))</f>
        <v>Mature Adults</v>
      </c>
      <c r="L675" t="s">
        <v>13</v>
      </c>
      <c r="M675">
        <v>1</v>
      </c>
      <c r="N675" t="str">
        <f t="shared" si="10"/>
        <v>Light User</v>
      </c>
    </row>
    <row r="676" spans="1:14" x14ac:dyDescent="0.25">
      <c r="A676">
        <v>675</v>
      </c>
      <c r="B676" t="s">
        <v>16</v>
      </c>
      <c r="C676" t="s">
        <v>12</v>
      </c>
      <c r="D676">
        <v>522</v>
      </c>
      <c r="E676">
        <v>11.4</v>
      </c>
      <c r="F676">
        <v>2776</v>
      </c>
      <c r="G676">
        <v>93</v>
      </c>
      <c r="H676">
        <v>1768</v>
      </c>
      <c r="I676">
        <v>27</v>
      </c>
      <c r="J676" t="str">
        <f>IF(Table2[[#This Row],[Age]]&lt;=24, "18 - 24", IF(Table2[[#This Row],[Age]]&lt;=34, "25 - 34", IF(Table2[[#This Row],[Age]]&lt;=44, "35 - 44", IF(Table2[[#This Row],[Age]]&lt;=54, "45 - 54", "55 - 59"))))</f>
        <v>25 - 34</v>
      </c>
      <c r="K676" t="str">
        <f>IF(Table2[[#This Row],[Age]]&lt;=24, "Young Adults", IF(Table2[[#This Row],[Age]]&lt;=34, "Early Career", IF(Table2[[#This Row],[Age]]&lt;=44, "Mid Career", IF(Table2[[#This Row],[Age]]&lt;=54, "Mature Adults", "Pre-retirment"))))</f>
        <v>Early Career</v>
      </c>
      <c r="L676" t="s">
        <v>15</v>
      </c>
      <c r="M676">
        <v>5</v>
      </c>
      <c r="N676" t="str">
        <f t="shared" si="10"/>
        <v>Heavy User</v>
      </c>
    </row>
    <row r="677" spans="1:14" x14ac:dyDescent="0.25">
      <c r="A677">
        <v>676</v>
      </c>
      <c r="B677" t="s">
        <v>16</v>
      </c>
      <c r="C677" t="s">
        <v>12</v>
      </c>
      <c r="D677">
        <v>81</v>
      </c>
      <c r="E677">
        <v>1.5</v>
      </c>
      <c r="F677">
        <v>545</v>
      </c>
      <c r="G677">
        <v>17</v>
      </c>
      <c r="H677">
        <v>159</v>
      </c>
      <c r="I677">
        <v>40</v>
      </c>
      <c r="J677" t="str">
        <f>IF(Table2[[#This Row],[Age]]&lt;=24, "18 - 24", IF(Table2[[#This Row],[Age]]&lt;=34, "25 - 34", IF(Table2[[#This Row],[Age]]&lt;=44, "35 - 44", IF(Table2[[#This Row],[Age]]&lt;=54, "45 - 54", "55 - 59"))))</f>
        <v>35 - 44</v>
      </c>
      <c r="K677" t="str">
        <f>IF(Table2[[#This Row],[Age]]&lt;=24, "Young Adults", IF(Table2[[#This Row],[Age]]&lt;=34, "Early Career", IF(Table2[[#This Row],[Age]]&lt;=44, "Mid Career", IF(Table2[[#This Row],[Age]]&lt;=54, "Mature Adults", "Pre-retirment"))))</f>
        <v>Mid Career</v>
      </c>
      <c r="L677" t="s">
        <v>13</v>
      </c>
      <c r="M677">
        <v>1</v>
      </c>
      <c r="N677" t="str">
        <f t="shared" si="10"/>
        <v>Light User</v>
      </c>
    </row>
    <row r="678" spans="1:14" x14ac:dyDescent="0.25">
      <c r="A678">
        <v>677</v>
      </c>
      <c r="B678" t="s">
        <v>14</v>
      </c>
      <c r="C678" t="s">
        <v>12</v>
      </c>
      <c r="D678">
        <v>141</v>
      </c>
      <c r="E678">
        <v>3.8</v>
      </c>
      <c r="F678">
        <v>689</v>
      </c>
      <c r="G678">
        <v>38</v>
      </c>
      <c r="H678">
        <v>576</v>
      </c>
      <c r="I678">
        <v>34</v>
      </c>
      <c r="J678" t="str">
        <f>IF(Table2[[#This Row],[Age]]&lt;=24, "18 - 24", IF(Table2[[#This Row],[Age]]&lt;=34, "25 - 34", IF(Table2[[#This Row],[Age]]&lt;=44, "35 - 44", IF(Table2[[#This Row],[Age]]&lt;=54, "45 - 54", "55 - 59"))))</f>
        <v>25 - 34</v>
      </c>
      <c r="K678" t="str">
        <f>IF(Table2[[#This Row],[Age]]&lt;=24, "Young Adults", IF(Table2[[#This Row],[Age]]&lt;=34, "Early Career", IF(Table2[[#This Row],[Age]]&lt;=44, "Mid Career", IF(Table2[[#This Row],[Age]]&lt;=54, "Mature Adults", "Pre-retirment"))))</f>
        <v>Early Career</v>
      </c>
      <c r="L678" t="s">
        <v>13</v>
      </c>
      <c r="M678">
        <v>2</v>
      </c>
      <c r="N678" t="str">
        <f t="shared" si="10"/>
        <v>Light User</v>
      </c>
    </row>
    <row r="679" spans="1:14" x14ac:dyDescent="0.25">
      <c r="A679">
        <v>678</v>
      </c>
      <c r="B679" t="s">
        <v>19</v>
      </c>
      <c r="C679" t="s">
        <v>12</v>
      </c>
      <c r="D679">
        <v>115</v>
      </c>
      <c r="E679">
        <v>3.5</v>
      </c>
      <c r="F679">
        <v>706</v>
      </c>
      <c r="G679">
        <v>26</v>
      </c>
      <c r="H679">
        <v>495</v>
      </c>
      <c r="I679">
        <v>52</v>
      </c>
      <c r="J679" t="str">
        <f>IF(Table2[[#This Row],[Age]]&lt;=24, "18 - 24", IF(Table2[[#This Row],[Age]]&lt;=34, "25 - 34", IF(Table2[[#This Row],[Age]]&lt;=44, "35 - 44", IF(Table2[[#This Row],[Age]]&lt;=54, "45 - 54", "55 - 59"))))</f>
        <v>45 - 54</v>
      </c>
      <c r="K679" t="str">
        <f>IF(Table2[[#This Row],[Age]]&lt;=24, "Young Adults", IF(Table2[[#This Row],[Age]]&lt;=34, "Early Career", IF(Table2[[#This Row],[Age]]&lt;=44, "Mid Career", IF(Table2[[#This Row],[Age]]&lt;=54, "Mature Adults", "Pre-retirment"))))</f>
        <v>Mature Adults</v>
      </c>
      <c r="L679" t="s">
        <v>15</v>
      </c>
      <c r="M679">
        <v>2</v>
      </c>
      <c r="N679" t="str">
        <f t="shared" si="10"/>
        <v>Light User</v>
      </c>
    </row>
    <row r="680" spans="1:14" x14ac:dyDescent="0.25">
      <c r="A680">
        <v>679</v>
      </c>
      <c r="B680" t="s">
        <v>11</v>
      </c>
      <c r="C680" t="s">
        <v>12</v>
      </c>
      <c r="D680">
        <v>298</v>
      </c>
      <c r="E680">
        <v>4.5999999999999996</v>
      </c>
      <c r="F680">
        <v>1525</v>
      </c>
      <c r="G680">
        <v>59</v>
      </c>
      <c r="H680">
        <v>814</v>
      </c>
      <c r="I680">
        <v>36</v>
      </c>
      <c r="J680" t="str">
        <f>IF(Table2[[#This Row],[Age]]&lt;=24, "18 - 24", IF(Table2[[#This Row],[Age]]&lt;=34, "25 - 34", IF(Table2[[#This Row],[Age]]&lt;=44, "35 - 44", IF(Table2[[#This Row],[Age]]&lt;=54, "45 - 54", "55 - 59"))))</f>
        <v>35 - 44</v>
      </c>
      <c r="K680" t="str">
        <f>IF(Table2[[#This Row],[Age]]&lt;=24, "Young Adults", IF(Table2[[#This Row],[Age]]&lt;=34, "Early Career", IF(Table2[[#This Row],[Age]]&lt;=44, "Mid Career", IF(Table2[[#This Row],[Age]]&lt;=54, "Mature Adults", "Pre-retirment"))))</f>
        <v>Mid Career</v>
      </c>
      <c r="L680" t="s">
        <v>15</v>
      </c>
      <c r="M680">
        <v>3</v>
      </c>
      <c r="N680" t="str">
        <f t="shared" si="10"/>
        <v>Moderate User</v>
      </c>
    </row>
    <row r="681" spans="1:14" x14ac:dyDescent="0.25">
      <c r="A681">
        <v>680</v>
      </c>
      <c r="B681" t="s">
        <v>17</v>
      </c>
      <c r="C681" t="s">
        <v>18</v>
      </c>
      <c r="D681">
        <v>33</v>
      </c>
      <c r="E681">
        <v>1.8</v>
      </c>
      <c r="F681">
        <v>334</v>
      </c>
      <c r="G681">
        <v>16</v>
      </c>
      <c r="H681">
        <v>113</v>
      </c>
      <c r="I681">
        <v>36</v>
      </c>
      <c r="J681" t="str">
        <f>IF(Table2[[#This Row],[Age]]&lt;=24, "18 - 24", IF(Table2[[#This Row],[Age]]&lt;=34, "25 - 34", IF(Table2[[#This Row],[Age]]&lt;=44, "35 - 44", IF(Table2[[#This Row],[Age]]&lt;=54, "45 - 54", "55 - 59"))))</f>
        <v>35 - 44</v>
      </c>
      <c r="K681" t="str">
        <f>IF(Table2[[#This Row],[Age]]&lt;=24, "Young Adults", IF(Table2[[#This Row],[Age]]&lt;=34, "Early Career", IF(Table2[[#This Row],[Age]]&lt;=44, "Mid Career", IF(Table2[[#This Row],[Age]]&lt;=54, "Mature Adults", "Pre-retirment"))))</f>
        <v>Mid Career</v>
      </c>
      <c r="L681" t="s">
        <v>15</v>
      </c>
      <c r="M681">
        <v>1</v>
      </c>
      <c r="N681" t="str">
        <f t="shared" si="10"/>
        <v>Light User</v>
      </c>
    </row>
    <row r="682" spans="1:14" x14ac:dyDescent="0.25">
      <c r="A682">
        <v>681</v>
      </c>
      <c r="B682" t="s">
        <v>11</v>
      </c>
      <c r="C682" t="s">
        <v>12</v>
      </c>
      <c r="D682">
        <v>307</v>
      </c>
      <c r="E682">
        <v>6.1</v>
      </c>
      <c r="F682">
        <v>2105</v>
      </c>
      <c r="G682">
        <v>76</v>
      </c>
      <c r="H682">
        <v>1111</v>
      </c>
      <c r="I682">
        <v>25</v>
      </c>
      <c r="J682" t="str">
        <f>IF(Table2[[#This Row],[Age]]&lt;=24, "18 - 24", IF(Table2[[#This Row],[Age]]&lt;=34, "25 - 34", IF(Table2[[#This Row],[Age]]&lt;=44, "35 - 44", IF(Table2[[#This Row],[Age]]&lt;=54, "45 - 54", "55 - 59"))))</f>
        <v>25 - 34</v>
      </c>
      <c r="K682" t="str">
        <f>IF(Table2[[#This Row],[Age]]&lt;=24, "Young Adults", IF(Table2[[#This Row],[Age]]&lt;=34, "Early Career", IF(Table2[[#This Row],[Age]]&lt;=44, "Mid Career", IF(Table2[[#This Row],[Age]]&lt;=54, "Mature Adults", "Pre-retirment"))))</f>
        <v>Early Career</v>
      </c>
      <c r="L682" t="s">
        <v>15</v>
      </c>
      <c r="M682">
        <v>4</v>
      </c>
      <c r="N682" t="str">
        <f t="shared" si="10"/>
        <v>Heavy User</v>
      </c>
    </row>
    <row r="683" spans="1:14" x14ac:dyDescent="0.25">
      <c r="A683">
        <v>682</v>
      </c>
      <c r="B683" t="s">
        <v>16</v>
      </c>
      <c r="C683" t="s">
        <v>12</v>
      </c>
      <c r="D683">
        <v>380</v>
      </c>
      <c r="E683">
        <v>7.6</v>
      </c>
      <c r="F683">
        <v>2354</v>
      </c>
      <c r="G683">
        <v>77</v>
      </c>
      <c r="H683">
        <v>1191</v>
      </c>
      <c r="I683">
        <v>30</v>
      </c>
      <c r="J683" t="str">
        <f>IF(Table2[[#This Row],[Age]]&lt;=24, "18 - 24", IF(Table2[[#This Row],[Age]]&lt;=34, "25 - 34", IF(Table2[[#This Row],[Age]]&lt;=44, "35 - 44", IF(Table2[[#This Row],[Age]]&lt;=54, "45 - 54", "55 - 59"))))</f>
        <v>25 - 34</v>
      </c>
      <c r="K683" t="str">
        <f>IF(Table2[[#This Row],[Age]]&lt;=24, "Young Adults", IF(Table2[[#This Row],[Age]]&lt;=34, "Early Career", IF(Table2[[#This Row],[Age]]&lt;=44, "Mid Career", IF(Table2[[#This Row],[Age]]&lt;=54, "Mature Adults", "Pre-retirment"))))</f>
        <v>Early Career</v>
      </c>
      <c r="L683" t="s">
        <v>13</v>
      </c>
      <c r="M683">
        <v>4</v>
      </c>
      <c r="N683" t="str">
        <f t="shared" si="10"/>
        <v>Heavy User</v>
      </c>
    </row>
    <row r="684" spans="1:14" x14ac:dyDescent="0.25">
      <c r="A684">
        <v>683</v>
      </c>
      <c r="B684" t="s">
        <v>16</v>
      </c>
      <c r="C684" t="s">
        <v>12</v>
      </c>
      <c r="D684">
        <v>190</v>
      </c>
      <c r="E684">
        <v>5.5</v>
      </c>
      <c r="F684">
        <v>1718</v>
      </c>
      <c r="G684">
        <v>58</v>
      </c>
      <c r="H684">
        <v>815</v>
      </c>
      <c r="I684">
        <v>42</v>
      </c>
      <c r="J684" t="str">
        <f>IF(Table2[[#This Row],[Age]]&lt;=24, "18 - 24", IF(Table2[[#This Row],[Age]]&lt;=34, "25 - 34", IF(Table2[[#This Row],[Age]]&lt;=44, "35 - 44", IF(Table2[[#This Row],[Age]]&lt;=54, "45 - 54", "55 - 59"))))</f>
        <v>35 - 44</v>
      </c>
      <c r="K684" t="str">
        <f>IF(Table2[[#This Row],[Age]]&lt;=24, "Young Adults", IF(Table2[[#This Row],[Age]]&lt;=34, "Early Career", IF(Table2[[#This Row],[Age]]&lt;=44, "Mid Career", IF(Table2[[#This Row],[Age]]&lt;=54, "Mature Adults", "Pre-retirment"))))</f>
        <v>Mid Career</v>
      </c>
      <c r="L684" t="s">
        <v>13</v>
      </c>
      <c r="M684">
        <v>3</v>
      </c>
      <c r="N684" t="str">
        <f t="shared" si="10"/>
        <v>Moderate User</v>
      </c>
    </row>
    <row r="685" spans="1:14" x14ac:dyDescent="0.25">
      <c r="A685">
        <v>684</v>
      </c>
      <c r="B685" t="s">
        <v>19</v>
      </c>
      <c r="C685" t="s">
        <v>12</v>
      </c>
      <c r="D685">
        <v>75</v>
      </c>
      <c r="E685">
        <v>1.6</v>
      </c>
      <c r="F685">
        <v>325</v>
      </c>
      <c r="G685">
        <v>12</v>
      </c>
      <c r="H685">
        <v>225</v>
      </c>
      <c r="I685">
        <v>45</v>
      </c>
      <c r="J685" t="str">
        <f>IF(Table2[[#This Row],[Age]]&lt;=24, "18 - 24", IF(Table2[[#This Row],[Age]]&lt;=34, "25 - 34", IF(Table2[[#This Row],[Age]]&lt;=44, "35 - 44", IF(Table2[[#This Row],[Age]]&lt;=54, "45 - 54", "55 - 59"))))</f>
        <v>45 - 54</v>
      </c>
      <c r="K685" t="str">
        <f>IF(Table2[[#This Row],[Age]]&lt;=24, "Young Adults", IF(Table2[[#This Row],[Age]]&lt;=34, "Early Career", IF(Table2[[#This Row],[Age]]&lt;=44, "Mid Career", IF(Table2[[#This Row],[Age]]&lt;=54, "Mature Adults", "Pre-retirment"))))</f>
        <v>Mature Adults</v>
      </c>
      <c r="L685" t="s">
        <v>13</v>
      </c>
      <c r="M685">
        <v>1</v>
      </c>
      <c r="N685" t="str">
        <f t="shared" si="10"/>
        <v>Light User</v>
      </c>
    </row>
    <row r="686" spans="1:14" x14ac:dyDescent="0.25">
      <c r="A686">
        <v>685</v>
      </c>
      <c r="B686" t="s">
        <v>11</v>
      </c>
      <c r="C686" t="s">
        <v>12</v>
      </c>
      <c r="D686">
        <v>218</v>
      </c>
      <c r="E686">
        <v>4</v>
      </c>
      <c r="F686">
        <v>1221</v>
      </c>
      <c r="G686">
        <v>47</v>
      </c>
      <c r="H686">
        <v>822</v>
      </c>
      <c r="I686">
        <v>25</v>
      </c>
      <c r="J686" t="str">
        <f>IF(Table2[[#This Row],[Age]]&lt;=24, "18 - 24", IF(Table2[[#This Row],[Age]]&lt;=34, "25 - 34", IF(Table2[[#This Row],[Age]]&lt;=44, "35 - 44", IF(Table2[[#This Row],[Age]]&lt;=54, "45 - 54", "55 - 59"))))</f>
        <v>25 - 34</v>
      </c>
      <c r="K686" t="str">
        <f>IF(Table2[[#This Row],[Age]]&lt;=24, "Young Adults", IF(Table2[[#This Row],[Age]]&lt;=34, "Early Career", IF(Table2[[#This Row],[Age]]&lt;=44, "Mid Career", IF(Table2[[#This Row],[Age]]&lt;=54, "Mature Adults", "Pre-retirment"))))</f>
        <v>Early Career</v>
      </c>
      <c r="L686" t="s">
        <v>13</v>
      </c>
      <c r="M686">
        <v>3</v>
      </c>
      <c r="N686" t="str">
        <f t="shared" si="10"/>
        <v>Moderate User</v>
      </c>
    </row>
    <row r="687" spans="1:14" x14ac:dyDescent="0.25">
      <c r="A687">
        <v>686</v>
      </c>
      <c r="B687" t="s">
        <v>16</v>
      </c>
      <c r="C687" t="s">
        <v>12</v>
      </c>
      <c r="D687">
        <v>412</v>
      </c>
      <c r="E687">
        <v>6.6</v>
      </c>
      <c r="F687">
        <v>1859</v>
      </c>
      <c r="G687">
        <v>67</v>
      </c>
      <c r="H687">
        <v>1393</v>
      </c>
      <c r="I687">
        <v>18</v>
      </c>
      <c r="J687" t="str">
        <f>IF(Table2[[#This Row],[Age]]&lt;=24, "18 - 24", IF(Table2[[#This Row],[Age]]&lt;=34, "25 - 34", IF(Table2[[#This Row],[Age]]&lt;=44, "35 - 44", IF(Table2[[#This Row],[Age]]&lt;=54, "45 - 54", "55 - 59"))))</f>
        <v>18 - 24</v>
      </c>
      <c r="K687" t="str">
        <f>IF(Table2[[#This Row],[Age]]&lt;=24, "Young Adults", IF(Table2[[#This Row],[Age]]&lt;=34, "Early Career", IF(Table2[[#This Row],[Age]]&lt;=44, "Mid Career", IF(Table2[[#This Row],[Age]]&lt;=54, "Mature Adults", "Pre-retirment"))))</f>
        <v>Young Adults</v>
      </c>
      <c r="L687" t="s">
        <v>13</v>
      </c>
      <c r="M687">
        <v>4</v>
      </c>
      <c r="N687" t="str">
        <f t="shared" si="10"/>
        <v>Heavy User</v>
      </c>
    </row>
    <row r="688" spans="1:14" x14ac:dyDescent="0.25">
      <c r="A688">
        <v>687</v>
      </c>
      <c r="B688" t="s">
        <v>11</v>
      </c>
      <c r="C688" t="s">
        <v>12</v>
      </c>
      <c r="D688">
        <v>335</v>
      </c>
      <c r="E688">
        <v>7.7</v>
      </c>
      <c r="F688">
        <v>2037</v>
      </c>
      <c r="G688">
        <v>68</v>
      </c>
      <c r="H688">
        <v>1007</v>
      </c>
      <c r="I688">
        <v>18</v>
      </c>
      <c r="J688" t="str">
        <f>IF(Table2[[#This Row],[Age]]&lt;=24, "18 - 24", IF(Table2[[#This Row],[Age]]&lt;=34, "25 - 34", IF(Table2[[#This Row],[Age]]&lt;=44, "35 - 44", IF(Table2[[#This Row],[Age]]&lt;=54, "45 - 54", "55 - 59"))))</f>
        <v>18 - 24</v>
      </c>
      <c r="K688" t="str">
        <f>IF(Table2[[#This Row],[Age]]&lt;=24, "Young Adults", IF(Table2[[#This Row],[Age]]&lt;=34, "Early Career", IF(Table2[[#This Row],[Age]]&lt;=44, "Mid Career", IF(Table2[[#This Row],[Age]]&lt;=54, "Mature Adults", "Pre-retirment"))))</f>
        <v>Young Adults</v>
      </c>
      <c r="L688" t="s">
        <v>13</v>
      </c>
      <c r="M688">
        <v>4</v>
      </c>
      <c r="N688" t="str">
        <f t="shared" si="10"/>
        <v>Heavy User</v>
      </c>
    </row>
    <row r="689" spans="1:14" x14ac:dyDescent="0.25">
      <c r="A689">
        <v>688</v>
      </c>
      <c r="B689" t="s">
        <v>14</v>
      </c>
      <c r="C689" t="s">
        <v>12</v>
      </c>
      <c r="D689">
        <v>387</v>
      </c>
      <c r="E689">
        <v>6.3</v>
      </c>
      <c r="F689">
        <v>2098</v>
      </c>
      <c r="G689">
        <v>61</v>
      </c>
      <c r="H689">
        <v>1178</v>
      </c>
      <c r="I689">
        <v>54</v>
      </c>
      <c r="J689" t="str">
        <f>IF(Table2[[#This Row],[Age]]&lt;=24, "18 - 24", IF(Table2[[#This Row],[Age]]&lt;=34, "25 - 34", IF(Table2[[#This Row],[Age]]&lt;=44, "35 - 44", IF(Table2[[#This Row],[Age]]&lt;=54, "45 - 54", "55 - 59"))))</f>
        <v>45 - 54</v>
      </c>
      <c r="K689" t="str">
        <f>IF(Table2[[#This Row],[Age]]&lt;=24, "Young Adults", IF(Table2[[#This Row],[Age]]&lt;=34, "Early Career", IF(Table2[[#This Row],[Age]]&lt;=44, "Mid Career", IF(Table2[[#This Row],[Age]]&lt;=54, "Mature Adults", "Pre-retirment"))))</f>
        <v>Mature Adults</v>
      </c>
      <c r="L689" t="s">
        <v>13</v>
      </c>
      <c r="M689">
        <v>4</v>
      </c>
      <c r="N689" t="str">
        <f t="shared" si="10"/>
        <v>Heavy User</v>
      </c>
    </row>
    <row r="690" spans="1:14" x14ac:dyDescent="0.25">
      <c r="A690">
        <v>689</v>
      </c>
      <c r="B690" t="s">
        <v>11</v>
      </c>
      <c r="C690" t="s">
        <v>12</v>
      </c>
      <c r="D690">
        <v>261</v>
      </c>
      <c r="E690">
        <v>4.9000000000000004</v>
      </c>
      <c r="F690">
        <v>1589</v>
      </c>
      <c r="G690">
        <v>56</v>
      </c>
      <c r="H690">
        <v>824</v>
      </c>
      <c r="I690">
        <v>52</v>
      </c>
      <c r="J690" t="str">
        <f>IF(Table2[[#This Row],[Age]]&lt;=24, "18 - 24", IF(Table2[[#This Row],[Age]]&lt;=34, "25 - 34", IF(Table2[[#This Row],[Age]]&lt;=44, "35 - 44", IF(Table2[[#This Row],[Age]]&lt;=54, "45 - 54", "55 - 59"))))</f>
        <v>45 - 54</v>
      </c>
      <c r="K690" t="str">
        <f>IF(Table2[[#This Row],[Age]]&lt;=24, "Young Adults", IF(Table2[[#This Row],[Age]]&lt;=34, "Early Career", IF(Table2[[#This Row],[Age]]&lt;=44, "Mid Career", IF(Table2[[#This Row],[Age]]&lt;=54, "Mature Adults", "Pre-retirment"))))</f>
        <v>Mature Adults</v>
      </c>
      <c r="L690" t="s">
        <v>15</v>
      </c>
      <c r="M690">
        <v>3</v>
      </c>
      <c r="N690" t="str">
        <f t="shared" si="10"/>
        <v>Moderate User</v>
      </c>
    </row>
    <row r="691" spans="1:14" x14ac:dyDescent="0.25">
      <c r="A691">
        <v>690</v>
      </c>
      <c r="B691" t="s">
        <v>19</v>
      </c>
      <c r="C691" t="s">
        <v>12</v>
      </c>
      <c r="D691">
        <v>541</v>
      </c>
      <c r="E691">
        <v>9.5</v>
      </c>
      <c r="F691">
        <v>2424</v>
      </c>
      <c r="G691">
        <v>98</v>
      </c>
      <c r="H691">
        <v>1550</v>
      </c>
      <c r="I691">
        <v>32</v>
      </c>
      <c r="J691" t="str">
        <f>IF(Table2[[#This Row],[Age]]&lt;=24, "18 - 24", IF(Table2[[#This Row],[Age]]&lt;=34, "25 - 34", IF(Table2[[#This Row],[Age]]&lt;=44, "35 - 44", IF(Table2[[#This Row],[Age]]&lt;=54, "45 - 54", "55 - 59"))))</f>
        <v>25 - 34</v>
      </c>
      <c r="K691" t="str">
        <f>IF(Table2[[#This Row],[Age]]&lt;=24, "Young Adults", IF(Table2[[#This Row],[Age]]&lt;=34, "Early Career", IF(Table2[[#This Row],[Age]]&lt;=44, "Mid Career", IF(Table2[[#This Row],[Age]]&lt;=54, "Mature Adults", "Pre-retirment"))))</f>
        <v>Early Career</v>
      </c>
      <c r="L691" t="s">
        <v>13</v>
      </c>
      <c r="M691">
        <v>5</v>
      </c>
      <c r="N691" t="str">
        <f t="shared" si="10"/>
        <v>Heavy User</v>
      </c>
    </row>
    <row r="692" spans="1:14" x14ac:dyDescent="0.25">
      <c r="A692">
        <v>691</v>
      </c>
      <c r="B692" t="s">
        <v>11</v>
      </c>
      <c r="C692" t="s">
        <v>12</v>
      </c>
      <c r="D692">
        <v>195</v>
      </c>
      <c r="E692">
        <v>5.7</v>
      </c>
      <c r="F692">
        <v>1447</v>
      </c>
      <c r="G692">
        <v>48</v>
      </c>
      <c r="H692">
        <v>679</v>
      </c>
      <c r="I692">
        <v>30</v>
      </c>
      <c r="J692" t="str">
        <f>IF(Table2[[#This Row],[Age]]&lt;=24, "18 - 24", IF(Table2[[#This Row],[Age]]&lt;=34, "25 - 34", IF(Table2[[#This Row],[Age]]&lt;=44, "35 - 44", IF(Table2[[#This Row],[Age]]&lt;=54, "45 - 54", "55 - 59"))))</f>
        <v>25 - 34</v>
      </c>
      <c r="K692" t="str">
        <f>IF(Table2[[#This Row],[Age]]&lt;=24, "Young Adults", IF(Table2[[#This Row],[Age]]&lt;=34, "Early Career", IF(Table2[[#This Row],[Age]]&lt;=44, "Mid Career", IF(Table2[[#This Row],[Age]]&lt;=54, "Mature Adults", "Pre-retirment"))))</f>
        <v>Early Career</v>
      </c>
      <c r="L692" t="s">
        <v>13</v>
      </c>
      <c r="M692">
        <v>3</v>
      </c>
      <c r="N692" t="str">
        <f t="shared" si="10"/>
        <v>Moderate User</v>
      </c>
    </row>
    <row r="693" spans="1:14" x14ac:dyDescent="0.25">
      <c r="A693">
        <v>692</v>
      </c>
      <c r="B693" t="s">
        <v>17</v>
      </c>
      <c r="C693" t="s">
        <v>18</v>
      </c>
      <c r="D693">
        <v>178</v>
      </c>
      <c r="E693">
        <v>4</v>
      </c>
      <c r="F693">
        <v>856</v>
      </c>
      <c r="G693">
        <v>37</v>
      </c>
      <c r="H693">
        <v>569</v>
      </c>
      <c r="I693">
        <v>51</v>
      </c>
      <c r="J693" t="str">
        <f>IF(Table2[[#This Row],[Age]]&lt;=24, "18 - 24", IF(Table2[[#This Row],[Age]]&lt;=34, "25 - 34", IF(Table2[[#This Row],[Age]]&lt;=44, "35 - 44", IF(Table2[[#This Row],[Age]]&lt;=54, "45 - 54", "55 - 59"))))</f>
        <v>45 - 54</v>
      </c>
      <c r="K693" t="str">
        <f>IF(Table2[[#This Row],[Age]]&lt;=24, "Young Adults", IF(Table2[[#This Row],[Age]]&lt;=34, "Early Career", IF(Table2[[#This Row],[Age]]&lt;=44, "Mid Career", IF(Table2[[#This Row],[Age]]&lt;=54, "Mature Adults", "Pre-retirment"))))</f>
        <v>Mature Adults</v>
      </c>
      <c r="L693" t="s">
        <v>15</v>
      </c>
      <c r="M693">
        <v>2</v>
      </c>
      <c r="N693" t="str">
        <f t="shared" si="10"/>
        <v>Light User</v>
      </c>
    </row>
    <row r="694" spans="1:14" x14ac:dyDescent="0.25">
      <c r="A694">
        <v>693</v>
      </c>
      <c r="B694" t="s">
        <v>16</v>
      </c>
      <c r="C694" t="s">
        <v>12</v>
      </c>
      <c r="D694">
        <v>378</v>
      </c>
      <c r="E694">
        <v>6.7</v>
      </c>
      <c r="F694">
        <v>1898</v>
      </c>
      <c r="G694">
        <v>78</v>
      </c>
      <c r="H694">
        <v>1455</v>
      </c>
      <c r="I694">
        <v>48</v>
      </c>
      <c r="J694" t="str">
        <f>IF(Table2[[#This Row],[Age]]&lt;=24, "18 - 24", IF(Table2[[#This Row],[Age]]&lt;=34, "25 - 34", IF(Table2[[#This Row],[Age]]&lt;=44, "35 - 44", IF(Table2[[#This Row],[Age]]&lt;=54, "45 - 54", "55 - 59"))))</f>
        <v>45 - 54</v>
      </c>
      <c r="K694" t="str">
        <f>IF(Table2[[#This Row],[Age]]&lt;=24, "Young Adults", IF(Table2[[#This Row],[Age]]&lt;=34, "Early Career", IF(Table2[[#This Row],[Age]]&lt;=44, "Mid Career", IF(Table2[[#This Row],[Age]]&lt;=54, "Mature Adults", "Pre-retirment"))))</f>
        <v>Mature Adults</v>
      </c>
      <c r="L694" t="s">
        <v>15</v>
      </c>
      <c r="M694">
        <v>4</v>
      </c>
      <c r="N694" t="str">
        <f t="shared" si="10"/>
        <v>Heavy User</v>
      </c>
    </row>
    <row r="695" spans="1:14" x14ac:dyDescent="0.25">
      <c r="A695">
        <v>694</v>
      </c>
      <c r="B695" t="s">
        <v>16</v>
      </c>
      <c r="C695" t="s">
        <v>12</v>
      </c>
      <c r="D695">
        <v>505</v>
      </c>
      <c r="E695">
        <v>8.6</v>
      </c>
      <c r="F695">
        <v>2792</v>
      </c>
      <c r="G695">
        <v>82</v>
      </c>
      <c r="H695">
        <v>1709</v>
      </c>
      <c r="I695">
        <v>31</v>
      </c>
      <c r="J695" t="str">
        <f>IF(Table2[[#This Row],[Age]]&lt;=24, "18 - 24", IF(Table2[[#This Row],[Age]]&lt;=34, "25 - 34", IF(Table2[[#This Row],[Age]]&lt;=44, "35 - 44", IF(Table2[[#This Row],[Age]]&lt;=54, "45 - 54", "55 - 59"))))</f>
        <v>25 - 34</v>
      </c>
      <c r="K695" t="str">
        <f>IF(Table2[[#This Row],[Age]]&lt;=24, "Young Adults", IF(Table2[[#This Row],[Age]]&lt;=34, "Early Career", IF(Table2[[#This Row],[Age]]&lt;=44, "Mid Career", IF(Table2[[#This Row],[Age]]&lt;=54, "Mature Adults", "Pre-retirment"))))</f>
        <v>Early Career</v>
      </c>
      <c r="L695" t="s">
        <v>13</v>
      </c>
      <c r="M695">
        <v>5</v>
      </c>
      <c r="N695" t="str">
        <f t="shared" si="10"/>
        <v>Heavy User</v>
      </c>
    </row>
    <row r="696" spans="1:14" x14ac:dyDescent="0.25">
      <c r="A696">
        <v>695</v>
      </c>
      <c r="B696" t="s">
        <v>19</v>
      </c>
      <c r="C696" t="s">
        <v>12</v>
      </c>
      <c r="D696">
        <v>564</v>
      </c>
      <c r="E696">
        <v>9.6999999999999993</v>
      </c>
      <c r="F696">
        <v>2422</v>
      </c>
      <c r="G696">
        <v>83</v>
      </c>
      <c r="H696">
        <v>1985</v>
      </c>
      <c r="I696">
        <v>34</v>
      </c>
      <c r="J696" t="str">
        <f>IF(Table2[[#This Row],[Age]]&lt;=24, "18 - 24", IF(Table2[[#This Row],[Age]]&lt;=34, "25 - 34", IF(Table2[[#This Row],[Age]]&lt;=44, "35 - 44", IF(Table2[[#This Row],[Age]]&lt;=54, "45 - 54", "55 - 59"))))</f>
        <v>25 - 34</v>
      </c>
      <c r="K696" t="str">
        <f>IF(Table2[[#This Row],[Age]]&lt;=24, "Young Adults", IF(Table2[[#This Row],[Age]]&lt;=34, "Early Career", IF(Table2[[#This Row],[Age]]&lt;=44, "Mid Career", IF(Table2[[#This Row],[Age]]&lt;=54, "Mature Adults", "Pre-retirment"))))</f>
        <v>Early Career</v>
      </c>
      <c r="L696" t="s">
        <v>15</v>
      </c>
      <c r="M696">
        <v>5</v>
      </c>
      <c r="N696" t="str">
        <f t="shared" si="10"/>
        <v>Heavy User</v>
      </c>
    </row>
    <row r="697" spans="1:14" x14ac:dyDescent="0.25">
      <c r="A697">
        <v>696</v>
      </c>
      <c r="B697" t="s">
        <v>17</v>
      </c>
      <c r="C697" t="s">
        <v>18</v>
      </c>
      <c r="D697">
        <v>92</v>
      </c>
      <c r="E697">
        <v>3.9</v>
      </c>
      <c r="F697">
        <v>1082</v>
      </c>
      <c r="G697">
        <v>26</v>
      </c>
      <c r="H697">
        <v>381</v>
      </c>
      <c r="I697">
        <v>22</v>
      </c>
      <c r="J697" t="str">
        <f>IF(Table2[[#This Row],[Age]]&lt;=24, "18 - 24", IF(Table2[[#This Row],[Age]]&lt;=34, "25 - 34", IF(Table2[[#This Row],[Age]]&lt;=44, "35 - 44", IF(Table2[[#This Row],[Age]]&lt;=54, "45 - 54", "55 - 59"))))</f>
        <v>18 - 24</v>
      </c>
      <c r="K697" t="str">
        <f>IF(Table2[[#This Row],[Age]]&lt;=24, "Young Adults", IF(Table2[[#This Row],[Age]]&lt;=34, "Early Career", IF(Table2[[#This Row],[Age]]&lt;=44, "Mid Career", IF(Table2[[#This Row],[Age]]&lt;=54, "Mature Adults", "Pre-retirment"))))</f>
        <v>Young Adults</v>
      </c>
      <c r="L697" t="s">
        <v>13</v>
      </c>
      <c r="M697">
        <v>2</v>
      </c>
      <c r="N697" t="str">
        <f t="shared" si="10"/>
        <v>Light User</v>
      </c>
    </row>
    <row r="698" spans="1:14" x14ac:dyDescent="0.25">
      <c r="A698">
        <v>697</v>
      </c>
      <c r="B698" t="s">
        <v>16</v>
      </c>
      <c r="C698" t="s">
        <v>12</v>
      </c>
      <c r="D698">
        <v>316</v>
      </c>
      <c r="E698">
        <v>6.8</v>
      </c>
      <c r="F698">
        <v>1965</v>
      </c>
      <c r="G698">
        <v>68</v>
      </c>
      <c r="H698">
        <v>1201</v>
      </c>
      <c r="I698">
        <v>59</v>
      </c>
      <c r="J698" t="str">
        <f>IF(Table2[[#This Row],[Age]]&lt;=24, "18 - 24", IF(Table2[[#This Row],[Age]]&lt;=34, "25 - 34", IF(Table2[[#This Row],[Age]]&lt;=44, "35 - 44", IF(Table2[[#This Row],[Age]]&lt;=54, "45 - 54", "55 - 59"))))</f>
        <v>55 - 59</v>
      </c>
      <c r="K698" t="str">
        <f>IF(Table2[[#This Row],[Age]]&lt;=24, "Young Adults", IF(Table2[[#This Row],[Age]]&lt;=34, "Early Career", IF(Table2[[#This Row],[Age]]&lt;=44, "Mid Career", IF(Table2[[#This Row],[Age]]&lt;=54, "Mature Adults", "Pre-retirment"))))</f>
        <v>Pre-retirment</v>
      </c>
      <c r="L698" t="s">
        <v>13</v>
      </c>
      <c r="M698">
        <v>4</v>
      </c>
      <c r="N698" t="str">
        <f t="shared" si="10"/>
        <v>Heavy User</v>
      </c>
    </row>
    <row r="699" spans="1:14" x14ac:dyDescent="0.25">
      <c r="A699">
        <v>698</v>
      </c>
      <c r="B699" t="s">
        <v>11</v>
      </c>
      <c r="C699" t="s">
        <v>12</v>
      </c>
      <c r="D699">
        <v>99</v>
      </c>
      <c r="E699">
        <v>3.1</v>
      </c>
      <c r="F699">
        <v>942</v>
      </c>
      <c r="G699">
        <v>22</v>
      </c>
      <c r="H699">
        <v>457</v>
      </c>
      <c r="I699">
        <v>50</v>
      </c>
      <c r="J699" t="str">
        <f>IF(Table2[[#This Row],[Age]]&lt;=24, "18 - 24", IF(Table2[[#This Row],[Age]]&lt;=34, "25 - 34", IF(Table2[[#This Row],[Age]]&lt;=44, "35 - 44", IF(Table2[[#This Row],[Age]]&lt;=54, "45 - 54", "55 - 59"))))</f>
        <v>45 - 54</v>
      </c>
      <c r="K699" t="str">
        <f>IF(Table2[[#This Row],[Age]]&lt;=24, "Young Adults", IF(Table2[[#This Row],[Age]]&lt;=34, "Early Career", IF(Table2[[#This Row],[Age]]&lt;=44, "Mid Career", IF(Table2[[#This Row],[Age]]&lt;=54, "Mature Adults", "Pre-retirment"))))</f>
        <v>Mature Adults</v>
      </c>
      <c r="L699" t="s">
        <v>15</v>
      </c>
      <c r="M699">
        <v>2</v>
      </c>
      <c r="N699" t="str">
        <f t="shared" si="10"/>
        <v>Light User</v>
      </c>
    </row>
    <row r="700" spans="1:14" x14ac:dyDescent="0.25">
      <c r="A700">
        <v>699</v>
      </c>
      <c r="B700" t="s">
        <v>19</v>
      </c>
      <c r="C700" t="s">
        <v>12</v>
      </c>
      <c r="D700">
        <v>62</v>
      </c>
      <c r="E700">
        <v>1.7</v>
      </c>
      <c r="F700">
        <v>431</v>
      </c>
      <c r="G700">
        <v>13</v>
      </c>
      <c r="H700">
        <v>224</v>
      </c>
      <c r="I700">
        <v>44</v>
      </c>
      <c r="J700" t="str">
        <f>IF(Table2[[#This Row],[Age]]&lt;=24, "18 - 24", IF(Table2[[#This Row],[Age]]&lt;=34, "25 - 34", IF(Table2[[#This Row],[Age]]&lt;=44, "35 - 44", IF(Table2[[#This Row],[Age]]&lt;=54, "45 - 54", "55 - 59"))))</f>
        <v>35 - 44</v>
      </c>
      <c r="K700" t="str">
        <f>IF(Table2[[#This Row],[Age]]&lt;=24, "Young Adults", IF(Table2[[#This Row],[Age]]&lt;=34, "Early Career", IF(Table2[[#This Row],[Age]]&lt;=44, "Mid Career", IF(Table2[[#This Row],[Age]]&lt;=54, "Mature Adults", "Pre-retirment"))))</f>
        <v>Mid Career</v>
      </c>
      <c r="L700" t="s">
        <v>13</v>
      </c>
      <c r="M700">
        <v>1</v>
      </c>
      <c r="N700" t="str">
        <f t="shared" si="10"/>
        <v>Light User</v>
      </c>
    </row>
    <row r="701" spans="1:14" x14ac:dyDescent="0.25">
      <c r="A701">
        <v>700</v>
      </c>
      <c r="B701" t="s">
        <v>14</v>
      </c>
      <c r="C701" t="s">
        <v>12</v>
      </c>
      <c r="D701">
        <v>212</v>
      </c>
      <c r="E701">
        <v>5.4</v>
      </c>
      <c r="F701">
        <v>1306</v>
      </c>
      <c r="G701">
        <v>49</v>
      </c>
      <c r="H701">
        <v>828</v>
      </c>
      <c r="I701">
        <v>23</v>
      </c>
      <c r="J701" t="str">
        <f>IF(Table2[[#This Row],[Age]]&lt;=24, "18 - 24", IF(Table2[[#This Row],[Age]]&lt;=34, "25 - 34", IF(Table2[[#This Row],[Age]]&lt;=44, "35 - 44", IF(Table2[[#This Row],[Age]]&lt;=54, "45 - 54", "55 - 59"))))</f>
        <v>18 - 24</v>
      </c>
      <c r="K701" t="str">
        <f>IF(Table2[[#This Row],[Age]]&lt;=24, "Young Adults", IF(Table2[[#This Row],[Age]]&lt;=34, "Early Career", IF(Table2[[#This Row],[Age]]&lt;=44, "Mid Career", IF(Table2[[#This Row],[Age]]&lt;=54, "Mature Adults", "Pre-retirment"))))</f>
        <v>Young Adults</v>
      </c>
      <c r="L701" t="s">
        <v>15</v>
      </c>
      <c r="M701">
        <v>3</v>
      </c>
      <c r="N701" t="str">
        <f t="shared" si="10"/>
        <v>Moderate User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77"/>
  <sheetViews>
    <sheetView topLeftCell="B19" zoomScale="82" zoomScaleNormal="82" workbookViewId="0">
      <selection activeCell="J50" sqref="J50"/>
    </sheetView>
  </sheetViews>
  <sheetFormatPr defaultRowHeight="15" x14ac:dyDescent="0.25"/>
  <cols>
    <col min="1" max="1" width="9.140625" customWidth="1"/>
    <col min="2" max="3" width="20.5703125" customWidth="1"/>
    <col min="4" max="4" width="36.5703125" customWidth="1"/>
    <col min="5" max="5" width="5.42578125" bestFit="1" customWidth="1"/>
    <col min="6" max="6" width="23" customWidth="1"/>
    <col min="7" max="7" width="35.42578125" customWidth="1"/>
    <col min="8" max="8" width="5.5703125" customWidth="1"/>
    <col min="9" max="9" width="20.5703125" customWidth="1"/>
    <col min="10" max="10" width="36.5703125" customWidth="1"/>
    <col min="11" max="11" width="18.85546875" customWidth="1"/>
    <col min="12" max="12" width="13.42578125" customWidth="1"/>
    <col min="13" max="13" width="7.140625" customWidth="1"/>
    <col min="14" max="14" width="20.5703125" customWidth="1"/>
    <col min="15" max="15" width="34.42578125" customWidth="1"/>
    <col min="16" max="16" width="7.140625" customWidth="1"/>
    <col min="17" max="17" width="7.140625" bestFit="1" customWidth="1"/>
    <col min="18" max="18" width="13.7109375" customWidth="1"/>
    <col min="19" max="19" width="36.5703125" customWidth="1"/>
    <col min="21" max="21" width="20.5703125" customWidth="1"/>
    <col min="22" max="22" width="36.5703125" customWidth="1"/>
  </cols>
  <sheetData>
    <row r="2" spans="2:16" x14ac:dyDescent="0.25">
      <c r="F2" s="4" t="s">
        <v>30</v>
      </c>
    </row>
    <row r="3" spans="2:16" x14ac:dyDescent="0.25">
      <c r="F3" s="1" t="s">
        <v>31</v>
      </c>
      <c r="G3" s="1" t="s">
        <v>32</v>
      </c>
      <c r="K3" s="4" t="s">
        <v>52</v>
      </c>
    </row>
    <row r="4" spans="2:16" x14ac:dyDescent="0.25">
      <c r="B4" s="2"/>
      <c r="C4" s="3"/>
      <c r="F4" s="1" t="s">
        <v>24</v>
      </c>
      <c r="G4" t="s">
        <v>15</v>
      </c>
      <c r="H4" t="s">
        <v>13</v>
      </c>
      <c r="I4" t="s">
        <v>25</v>
      </c>
      <c r="K4" s="1" t="s">
        <v>24</v>
      </c>
      <c r="L4" t="s">
        <v>27</v>
      </c>
    </row>
    <row r="5" spans="2:16" x14ac:dyDescent="0.25">
      <c r="B5" s="2"/>
      <c r="C5" s="3"/>
      <c r="F5" s="2" t="s">
        <v>12</v>
      </c>
      <c r="G5" s="3">
        <v>262</v>
      </c>
      <c r="H5" s="3">
        <v>292</v>
      </c>
      <c r="I5" s="3">
        <v>554</v>
      </c>
      <c r="K5" s="2" t="s">
        <v>21</v>
      </c>
      <c r="L5" s="3">
        <v>275</v>
      </c>
    </row>
    <row r="6" spans="2:16" x14ac:dyDescent="0.25">
      <c r="B6" s="2"/>
      <c r="C6" s="3"/>
      <c r="F6" s="2" t="s">
        <v>18</v>
      </c>
      <c r="G6" s="3">
        <v>74</v>
      </c>
      <c r="H6" s="3">
        <v>72</v>
      </c>
      <c r="I6" s="3">
        <v>146</v>
      </c>
      <c r="K6" s="2" t="s">
        <v>23</v>
      </c>
      <c r="L6" s="3">
        <v>282</v>
      </c>
    </row>
    <row r="7" spans="2:16" x14ac:dyDescent="0.25">
      <c r="B7" s="2"/>
      <c r="C7" s="3"/>
      <c r="F7" s="2" t="s">
        <v>25</v>
      </c>
      <c r="G7" s="3">
        <v>336</v>
      </c>
      <c r="H7" s="3">
        <v>364</v>
      </c>
      <c r="I7" s="3">
        <v>700</v>
      </c>
      <c r="K7" s="2" t="s">
        <v>22</v>
      </c>
      <c r="L7" s="3">
        <v>143</v>
      </c>
    </row>
    <row r="8" spans="2:16" x14ac:dyDescent="0.25">
      <c r="B8" s="2"/>
      <c r="C8" s="3"/>
      <c r="K8" s="2" t="s">
        <v>25</v>
      </c>
      <c r="L8" s="3">
        <v>700</v>
      </c>
    </row>
    <row r="9" spans="2:16" x14ac:dyDescent="0.25">
      <c r="B9" s="2"/>
      <c r="C9" s="3"/>
    </row>
    <row r="10" spans="2:16" x14ac:dyDescent="0.25">
      <c r="F10" s="5" t="s">
        <v>33</v>
      </c>
      <c r="K10" s="5" t="s">
        <v>55</v>
      </c>
    </row>
    <row r="11" spans="2:16" x14ac:dyDescent="0.25">
      <c r="F11" s="1" t="s">
        <v>24</v>
      </c>
      <c r="G11" t="s">
        <v>34</v>
      </c>
      <c r="K11" s="1" t="s">
        <v>56</v>
      </c>
      <c r="L11" s="1" t="s">
        <v>53</v>
      </c>
    </row>
    <row r="12" spans="2:16" x14ac:dyDescent="0.25">
      <c r="B12" s="5" t="s">
        <v>28</v>
      </c>
      <c r="F12" s="2" t="s">
        <v>11</v>
      </c>
      <c r="G12" s="6">
        <v>267.78873239436621</v>
      </c>
      <c r="K12" s="1" t="s">
        <v>24</v>
      </c>
      <c r="L12" s="10" t="s">
        <v>57</v>
      </c>
      <c r="M12" s="10" t="s">
        <v>58</v>
      </c>
      <c r="N12" s="10" t="s">
        <v>59</v>
      </c>
      <c r="O12" s="10" t="s">
        <v>60</v>
      </c>
      <c r="P12" s="10" t="s">
        <v>61</v>
      </c>
    </row>
    <row r="13" spans="2:16" x14ac:dyDescent="0.25">
      <c r="B13" s="1" t="s">
        <v>82</v>
      </c>
      <c r="C13" t="s">
        <v>29</v>
      </c>
      <c r="F13" s="2" t="s">
        <v>17</v>
      </c>
      <c r="G13" s="6">
        <v>282.02054794520546</v>
      </c>
      <c r="K13" s="2" t="s">
        <v>21</v>
      </c>
      <c r="L13" s="11">
        <v>53</v>
      </c>
      <c r="M13" s="11">
        <v>63</v>
      </c>
      <c r="N13" s="11">
        <v>54</v>
      </c>
      <c r="O13" s="11">
        <v>77</v>
      </c>
      <c r="P13" s="11">
        <v>28</v>
      </c>
    </row>
    <row r="14" spans="2:16" x14ac:dyDescent="0.25">
      <c r="B14" s="2" t="s">
        <v>17</v>
      </c>
      <c r="C14" s="3">
        <v>75</v>
      </c>
      <c r="F14" s="2" t="s">
        <v>14</v>
      </c>
      <c r="G14" s="6">
        <v>270.38345864661653</v>
      </c>
      <c r="K14" s="2" t="s">
        <v>23</v>
      </c>
      <c r="L14" s="11">
        <v>31</v>
      </c>
      <c r="M14" s="11">
        <v>86</v>
      </c>
      <c r="N14" s="11">
        <v>74</v>
      </c>
      <c r="O14" s="11">
        <v>62</v>
      </c>
      <c r="P14" s="11">
        <v>29</v>
      </c>
    </row>
    <row r="15" spans="2:16" x14ac:dyDescent="0.25">
      <c r="B15" s="2" t="s">
        <v>16</v>
      </c>
      <c r="C15" s="3">
        <v>72</v>
      </c>
      <c r="F15" s="2" t="s">
        <v>19</v>
      </c>
      <c r="G15" s="6">
        <v>266.42105263157896</v>
      </c>
      <c r="H15" t="s">
        <v>67</v>
      </c>
      <c r="K15" s="2" t="s">
        <v>22</v>
      </c>
      <c r="L15" s="11">
        <v>26</v>
      </c>
      <c r="M15" s="11">
        <v>33</v>
      </c>
      <c r="N15" s="11">
        <v>34</v>
      </c>
      <c r="O15" s="11">
        <v>25</v>
      </c>
      <c r="P15" s="11">
        <v>25</v>
      </c>
    </row>
    <row r="16" spans="2:16" x14ac:dyDescent="0.25">
      <c r="B16" s="2" t="s">
        <v>19</v>
      </c>
      <c r="C16" s="3">
        <v>68</v>
      </c>
      <c r="F16" s="2" t="s">
        <v>16</v>
      </c>
      <c r="G16" s="6">
        <v>268.45205479452056</v>
      </c>
      <c r="K16" s="2" t="s">
        <v>25</v>
      </c>
      <c r="L16" s="11">
        <v>110</v>
      </c>
      <c r="M16" s="11">
        <v>182</v>
      </c>
      <c r="N16" s="11">
        <v>162</v>
      </c>
      <c r="O16" s="11">
        <v>164</v>
      </c>
      <c r="P16" s="11">
        <v>82</v>
      </c>
    </row>
    <row r="17" spans="2:22" x14ac:dyDescent="0.25">
      <c r="B17" s="2" t="s">
        <v>11</v>
      </c>
      <c r="C17" s="3">
        <v>66</v>
      </c>
      <c r="F17" s="2" t="s">
        <v>25</v>
      </c>
      <c r="G17" s="6">
        <v>271.12857142857143</v>
      </c>
    </row>
    <row r="18" spans="2:22" x14ac:dyDescent="0.25">
      <c r="B18" s="2" t="s">
        <v>14</v>
      </c>
      <c r="C18" s="3">
        <v>64</v>
      </c>
    </row>
    <row r="19" spans="2:22" x14ac:dyDescent="0.25">
      <c r="B19" s="2" t="s">
        <v>25</v>
      </c>
      <c r="C19" s="3">
        <v>86</v>
      </c>
    </row>
    <row r="22" spans="2:22" ht="15.75" thickBot="1" x14ac:dyDescent="0.3"/>
    <row r="23" spans="2:22" x14ac:dyDescent="0.25">
      <c r="B23" s="9" t="s">
        <v>48</v>
      </c>
      <c r="C23" s="9" t="s">
        <v>49</v>
      </c>
      <c r="F23" s="9" t="s">
        <v>48</v>
      </c>
      <c r="G23" s="9" t="s">
        <v>50</v>
      </c>
      <c r="J23" s="9" t="s">
        <v>48</v>
      </c>
      <c r="K23" s="9" t="s">
        <v>51</v>
      </c>
      <c r="M23" s="4" t="s">
        <v>68</v>
      </c>
    </row>
    <row r="24" spans="2:22" x14ac:dyDescent="0.25">
      <c r="B24" s="7"/>
      <c r="C24" s="23"/>
      <c r="F24" s="7"/>
      <c r="G24" s="7"/>
      <c r="J24" s="7"/>
      <c r="K24" s="7"/>
      <c r="M24" s="1" t="s">
        <v>24</v>
      </c>
      <c r="N24" t="s">
        <v>69</v>
      </c>
      <c r="O24" t="s">
        <v>34</v>
      </c>
    </row>
    <row r="25" spans="2:22" x14ac:dyDescent="0.25">
      <c r="B25" s="7" t="s">
        <v>35</v>
      </c>
      <c r="C25" s="23">
        <v>271.12857142857143</v>
      </c>
      <c r="F25" s="7" t="s">
        <v>35</v>
      </c>
      <c r="G25" s="25">
        <v>5.2711015736766829</v>
      </c>
      <c r="J25" s="7" t="s">
        <v>35</v>
      </c>
      <c r="K25" s="7">
        <v>1524.6623748211732</v>
      </c>
      <c r="M25" s="2" t="s">
        <v>15</v>
      </c>
      <c r="N25" s="13">
        <v>5.2613095238095235</v>
      </c>
      <c r="O25" s="13">
        <v>271.96726190476193</v>
      </c>
    </row>
    <row r="26" spans="2:22" x14ac:dyDescent="0.25">
      <c r="B26" s="7" t="s">
        <v>36</v>
      </c>
      <c r="C26" s="23">
        <v>6.6975109732199662</v>
      </c>
      <c r="F26" s="7" t="s">
        <v>36</v>
      </c>
      <c r="G26" s="7">
        <v>0.11613638500950178</v>
      </c>
      <c r="J26" s="7" t="s">
        <v>36</v>
      </c>
      <c r="K26" s="7">
        <v>31.000788366186182</v>
      </c>
      <c r="M26" s="2" t="s">
        <v>13</v>
      </c>
      <c r="N26" s="13">
        <v>5.2832417582417577</v>
      </c>
      <c r="O26" s="13">
        <v>270.35439560439562</v>
      </c>
    </row>
    <row r="27" spans="2:22" x14ac:dyDescent="0.25">
      <c r="B27" s="7" t="s">
        <v>37</v>
      </c>
      <c r="C27" s="23">
        <v>227.5</v>
      </c>
      <c r="F27" s="7" t="s">
        <v>37</v>
      </c>
      <c r="G27" s="7">
        <v>4.9000000000000004</v>
      </c>
      <c r="J27" s="7" t="s">
        <v>37</v>
      </c>
      <c r="K27" s="7">
        <v>1500</v>
      </c>
      <c r="M27" s="2" t="s">
        <v>25</v>
      </c>
      <c r="N27" s="3">
        <v>5.2727142857142857</v>
      </c>
      <c r="O27" s="3">
        <v>271.12857142857143</v>
      </c>
    </row>
    <row r="28" spans="2:22" x14ac:dyDescent="0.25">
      <c r="B28" s="7" t="s">
        <v>38</v>
      </c>
      <c r="C28" s="23">
        <v>64</v>
      </c>
      <c r="F28" s="7" t="s">
        <v>38</v>
      </c>
      <c r="G28" s="7">
        <v>1.6</v>
      </c>
      <c r="J28" s="7" t="s">
        <v>38</v>
      </c>
      <c r="K28" s="7">
        <v>490</v>
      </c>
    </row>
    <row r="29" spans="2:22" x14ac:dyDescent="0.25">
      <c r="B29" s="7" t="s">
        <v>39</v>
      </c>
      <c r="C29" s="23">
        <v>177.19948438266206</v>
      </c>
      <c r="F29" s="7" t="s">
        <v>39</v>
      </c>
      <c r="G29" s="7">
        <v>3.0704843732267366</v>
      </c>
      <c r="J29" s="7" t="s">
        <v>39</v>
      </c>
      <c r="K29" s="7">
        <v>819.61769542160334</v>
      </c>
    </row>
    <row r="30" spans="2:22" x14ac:dyDescent="0.25">
      <c r="B30" s="7" t="s">
        <v>40</v>
      </c>
      <c r="C30" s="23">
        <v>31399.657265481295</v>
      </c>
      <c r="F30" s="7" t="s">
        <v>40</v>
      </c>
      <c r="G30" s="7">
        <v>9.4278742862295868</v>
      </c>
      <c r="J30" s="7" t="s">
        <v>40</v>
      </c>
      <c r="K30" s="7">
        <v>671773.16664822015</v>
      </c>
      <c r="M30" s="4" t="s">
        <v>70</v>
      </c>
      <c r="N30" s="12"/>
      <c r="R30" s="4" t="s">
        <v>78</v>
      </c>
    </row>
    <row r="31" spans="2:22" x14ac:dyDescent="0.25">
      <c r="B31" s="7" t="s">
        <v>41</v>
      </c>
      <c r="C31" s="23">
        <v>-1.2596178754434546</v>
      </c>
      <c r="F31" s="7" t="s">
        <v>41</v>
      </c>
      <c r="G31" s="7">
        <v>-0.81905414735268689</v>
      </c>
      <c r="J31" s="7" t="s">
        <v>41</v>
      </c>
      <c r="K31" s="7">
        <v>-1.276583443034417</v>
      </c>
      <c r="M31" s="7"/>
      <c r="N31" s="7"/>
      <c r="R31" s="1" t="s">
        <v>24</v>
      </c>
      <c r="S31" t="s">
        <v>69</v>
      </c>
      <c r="U31" s="1" t="s">
        <v>82</v>
      </c>
      <c r="V31" t="s">
        <v>69</v>
      </c>
    </row>
    <row r="32" spans="2:22" x14ac:dyDescent="0.25">
      <c r="B32" s="7" t="s">
        <v>42</v>
      </c>
      <c r="C32" s="23">
        <v>0.37231181676806846</v>
      </c>
      <c r="F32" s="7" t="s">
        <v>42</v>
      </c>
      <c r="G32" s="7">
        <v>0.46130712212954106</v>
      </c>
      <c r="J32" s="7" t="s">
        <v>42</v>
      </c>
      <c r="K32" s="7">
        <v>0.13622719270423006</v>
      </c>
      <c r="R32" s="2" t="s">
        <v>57</v>
      </c>
      <c r="S32" s="26">
        <v>5.6309090909090909</v>
      </c>
      <c r="U32" s="2" t="s">
        <v>11</v>
      </c>
      <c r="V32" s="26">
        <v>5.0760563380281685</v>
      </c>
    </row>
    <row r="33" spans="2:22" x14ac:dyDescent="0.25">
      <c r="B33" s="7" t="s">
        <v>43</v>
      </c>
      <c r="C33" s="23">
        <v>568</v>
      </c>
      <c r="F33" s="7" t="s">
        <v>43</v>
      </c>
      <c r="G33" s="7">
        <v>11</v>
      </c>
      <c r="J33" s="7" t="s">
        <v>43</v>
      </c>
      <c r="K33" s="7">
        <v>2691</v>
      </c>
      <c r="R33" s="2" t="s">
        <v>58</v>
      </c>
      <c r="S33" s="26">
        <v>5.0219780219780219</v>
      </c>
      <c r="U33" s="2" t="s">
        <v>17</v>
      </c>
      <c r="V33" s="26">
        <v>5.4308219178082187</v>
      </c>
    </row>
    <row r="34" spans="2:22" x14ac:dyDescent="0.25">
      <c r="B34" s="7" t="s">
        <v>44</v>
      </c>
      <c r="C34" s="23">
        <v>30</v>
      </c>
      <c r="F34" s="7" t="s">
        <v>44</v>
      </c>
      <c r="G34" s="7">
        <v>1</v>
      </c>
      <c r="J34" s="7" t="s">
        <v>44</v>
      </c>
      <c r="K34" s="7">
        <v>302</v>
      </c>
      <c r="R34" s="2" t="s">
        <v>59</v>
      </c>
      <c r="S34" s="26">
        <v>4.9481481481481486</v>
      </c>
      <c r="U34" s="2" t="s">
        <v>14</v>
      </c>
      <c r="V34" s="26">
        <v>5.2413533834586472</v>
      </c>
    </row>
    <row r="35" spans="2:22" x14ac:dyDescent="0.25">
      <c r="B35" s="7" t="s">
        <v>45</v>
      </c>
      <c r="C35" s="23">
        <v>598</v>
      </c>
      <c r="F35" s="7" t="s">
        <v>45</v>
      </c>
      <c r="G35" s="7">
        <v>12</v>
      </c>
      <c r="J35" s="7" t="s">
        <v>45</v>
      </c>
      <c r="K35" s="7">
        <v>2993</v>
      </c>
      <c r="R35" s="2" t="s">
        <v>60</v>
      </c>
      <c r="S35" s="26">
        <v>5.6280487804878048</v>
      </c>
      <c r="U35" s="2" t="s">
        <v>19</v>
      </c>
      <c r="V35" s="26">
        <v>5.3180451127819541</v>
      </c>
    </row>
    <row r="36" spans="2:22" x14ac:dyDescent="0.25">
      <c r="B36" s="7" t="s">
        <v>46</v>
      </c>
      <c r="C36" s="23">
        <v>189790</v>
      </c>
      <c r="F36" s="7" t="s">
        <v>46</v>
      </c>
      <c r="G36" s="7">
        <v>3684.5000000000014</v>
      </c>
      <c r="J36" s="7" t="s">
        <v>46</v>
      </c>
      <c r="K36" s="7">
        <v>1065739</v>
      </c>
      <c r="R36" s="2" t="s">
        <v>61</v>
      </c>
      <c r="S36" s="26">
        <v>5.2792682926829269</v>
      </c>
      <c r="U36" s="2" t="s">
        <v>16</v>
      </c>
      <c r="V36" s="26">
        <v>5.2931506849315069</v>
      </c>
    </row>
    <row r="37" spans="2:22" ht="15.75" thickBot="1" x14ac:dyDescent="0.3">
      <c r="B37" s="8" t="s">
        <v>47</v>
      </c>
      <c r="C37" s="24">
        <v>700</v>
      </c>
      <c r="F37" s="8" t="s">
        <v>47</v>
      </c>
      <c r="G37" s="8">
        <v>699</v>
      </c>
      <c r="J37" s="8" t="s">
        <v>47</v>
      </c>
      <c r="K37" s="8">
        <v>699</v>
      </c>
      <c r="R37" s="2" t="s">
        <v>25</v>
      </c>
      <c r="S37" s="26">
        <v>5.2727142857142857</v>
      </c>
      <c r="U37" s="2" t="s">
        <v>25</v>
      </c>
      <c r="V37" s="26">
        <v>5.2727142857142857</v>
      </c>
    </row>
    <row r="40" spans="2:22" x14ac:dyDescent="0.25">
      <c r="B40" s="4" t="s">
        <v>62</v>
      </c>
      <c r="F40" s="4" t="s">
        <v>63</v>
      </c>
      <c r="J40" s="4" t="s">
        <v>65</v>
      </c>
      <c r="M40" s="4" t="s">
        <v>71</v>
      </c>
    </row>
    <row r="41" spans="2:22" x14ac:dyDescent="0.25">
      <c r="B41" s="1" t="s">
        <v>24</v>
      </c>
      <c r="C41" t="s">
        <v>27</v>
      </c>
      <c r="F41" s="1" t="s">
        <v>24</v>
      </c>
      <c r="G41" t="s">
        <v>64</v>
      </c>
      <c r="J41" s="1" t="s">
        <v>24</v>
      </c>
      <c r="K41" t="s">
        <v>66</v>
      </c>
      <c r="M41" s="1" t="s">
        <v>24</v>
      </c>
      <c r="N41" t="s">
        <v>72</v>
      </c>
    </row>
    <row r="42" spans="2:22" x14ac:dyDescent="0.25">
      <c r="B42" s="2" t="s">
        <v>12</v>
      </c>
      <c r="C42" s="3">
        <v>554</v>
      </c>
      <c r="F42" s="2" t="s">
        <v>12</v>
      </c>
      <c r="G42" s="6">
        <v>920.31768953068593</v>
      </c>
      <c r="J42" s="2" t="s">
        <v>21</v>
      </c>
      <c r="K42" s="6">
        <v>79.48</v>
      </c>
      <c r="M42" s="2" t="s">
        <v>11</v>
      </c>
      <c r="N42" s="6">
        <v>1475.6760563380283</v>
      </c>
      <c r="P42" s="2"/>
      <c r="Q42" s="26"/>
    </row>
    <row r="43" spans="2:22" x14ac:dyDescent="0.25">
      <c r="B43" s="2" t="s">
        <v>18</v>
      </c>
      <c r="C43" s="3">
        <v>146</v>
      </c>
      <c r="F43" s="2" t="s">
        <v>18</v>
      </c>
      <c r="G43" s="6">
        <v>965.50684931506851</v>
      </c>
      <c r="J43" s="2" t="s">
        <v>23</v>
      </c>
      <c r="K43" s="6">
        <v>22.943262411347519</v>
      </c>
      <c r="M43" s="2" t="s">
        <v>17</v>
      </c>
      <c r="N43" s="6">
        <v>1589.513698630137</v>
      </c>
      <c r="P43" s="2"/>
      <c r="Q43" s="26"/>
    </row>
    <row r="44" spans="2:22" x14ac:dyDescent="0.25">
      <c r="B44" s="2" t="s">
        <v>25</v>
      </c>
      <c r="C44" s="3">
        <v>700</v>
      </c>
      <c r="F44" s="2" t="s">
        <v>25</v>
      </c>
      <c r="G44" s="3">
        <v>929.74285714285713</v>
      </c>
      <c r="J44" s="2" t="s">
        <v>22</v>
      </c>
      <c r="K44" s="6">
        <v>50</v>
      </c>
      <c r="M44" s="2" t="s">
        <v>14</v>
      </c>
      <c r="N44" s="6">
        <v>1523.8496240601503</v>
      </c>
      <c r="P44" s="2"/>
      <c r="Q44" s="26"/>
    </row>
    <row r="45" spans="2:22" x14ac:dyDescent="0.25">
      <c r="J45" s="2" t="s">
        <v>25</v>
      </c>
      <c r="K45" s="6">
        <v>50.681428571428569</v>
      </c>
      <c r="M45" s="2" t="s">
        <v>19</v>
      </c>
      <c r="N45" s="6">
        <v>1504.5714285714287</v>
      </c>
      <c r="P45" s="2"/>
      <c r="Q45" s="26"/>
    </row>
    <row r="46" spans="2:22" x14ac:dyDescent="0.25">
      <c r="M46" s="2" t="s">
        <v>16</v>
      </c>
      <c r="N46" s="6">
        <v>1528.8767123287671</v>
      </c>
      <c r="P46" s="2"/>
      <c r="Q46" s="26"/>
    </row>
    <row r="47" spans="2:22" x14ac:dyDescent="0.25">
      <c r="B47" s="4" t="s">
        <v>26</v>
      </c>
      <c r="M47" s="2" t="s">
        <v>25</v>
      </c>
      <c r="N47" s="6">
        <v>1525.1585714285713</v>
      </c>
      <c r="O47" s="6">
        <f>GETPIVOTDATA("Battery Drain (mAh/day)",$M41)</f>
        <v>1525.1585714285713</v>
      </c>
      <c r="P47" s="2"/>
      <c r="Q47" s="26"/>
    </row>
    <row r="48" spans="2:22" x14ac:dyDescent="0.25">
      <c r="B48" s="1" t="s">
        <v>24</v>
      </c>
      <c r="C48" t="s">
        <v>75</v>
      </c>
      <c r="F48" s="4" t="s">
        <v>73</v>
      </c>
      <c r="I48" s="4" t="s">
        <v>76</v>
      </c>
    </row>
    <row r="49" spans="2:22" x14ac:dyDescent="0.25">
      <c r="B49" s="2" t="s">
        <v>16</v>
      </c>
      <c r="C49" s="3">
        <v>146</v>
      </c>
      <c r="F49" t="s">
        <v>74</v>
      </c>
      <c r="I49" s="1" t="s">
        <v>24</v>
      </c>
      <c r="J49" t="s">
        <v>77</v>
      </c>
    </row>
    <row r="50" spans="2:22" x14ac:dyDescent="0.25">
      <c r="B50" s="2" t="s">
        <v>17</v>
      </c>
      <c r="C50" s="3">
        <v>146</v>
      </c>
      <c r="F50" s="3">
        <v>700</v>
      </c>
      <c r="I50" s="2" t="s">
        <v>16</v>
      </c>
      <c r="J50" s="3">
        <v>146</v>
      </c>
    </row>
    <row r="51" spans="2:22" x14ac:dyDescent="0.25">
      <c r="B51" s="2" t="s">
        <v>11</v>
      </c>
      <c r="C51" s="3">
        <v>142</v>
      </c>
      <c r="I51" s="2" t="s">
        <v>17</v>
      </c>
      <c r="J51" s="3">
        <v>146</v>
      </c>
    </row>
    <row r="52" spans="2:22" x14ac:dyDescent="0.25">
      <c r="B52" s="2" t="s">
        <v>19</v>
      </c>
      <c r="C52" s="3">
        <v>133</v>
      </c>
      <c r="I52" s="2" t="s">
        <v>11</v>
      </c>
      <c r="J52" s="3">
        <v>142</v>
      </c>
      <c r="M52" s="1" t="s">
        <v>56</v>
      </c>
      <c r="N52" s="1" t="s">
        <v>32</v>
      </c>
    </row>
    <row r="53" spans="2:22" x14ac:dyDescent="0.25">
      <c r="B53" s="2" t="s">
        <v>14</v>
      </c>
      <c r="C53" s="3">
        <v>133</v>
      </c>
      <c r="I53" s="2" t="s">
        <v>19</v>
      </c>
      <c r="J53" s="3">
        <v>133</v>
      </c>
      <c r="M53" s="1" t="s">
        <v>24</v>
      </c>
      <c r="N53" t="s">
        <v>57</v>
      </c>
      <c r="O53" t="s">
        <v>58</v>
      </c>
      <c r="P53" t="s">
        <v>59</v>
      </c>
      <c r="Q53" t="s">
        <v>60</v>
      </c>
      <c r="R53" t="s">
        <v>61</v>
      </c>
      <c r="S53" t="s">
        <v>25</v>
      </c>
      <c r="U53" s="2"/>
      <c r="V53" s="3"/>
    </row>
    <row r="54" spans="2:22" x14ac:dyDescent="0.25">
      <c r="B54" s="2" t="s">
        <v>25</v>
      </c>
      <c r="C54" s="3">
        <v>700</v>
      </c>
      <c r="I54" s="2" t="s">
        <v>14</v>
      </c>
      <c r="J54" s="3">
        <v>133</v>
      </c>
      <c r="M54" s="2" t="s">
        <v>16</v>
      </c>
      <c r="N54" s="3">
        <v>22</v>
      </c>
      <c r="O54" s="3">
        <v>40</v>
      </c>
      <c r="P54" s="3">
        <v>39</v>
      </c>
      <c r="Q54" s="3">
        <v>34</v>
      </c>
      <c r="R54" s="3">
        <v>11</v>
      </c>
      <c r="S54" s="3">
        <v>146</v>
      </c>
      <c r="U54" s="2"/>
      <c r="V54" s="3"/>
    </row>
    <row r="55" spans="2:22" x14ac:dyDescent="0.25">
      <c r="I55" s="2" t="s">
        <v>25</v>
      </c>
      <c r="J55" s="3">
        <v>700</v>
      </c>
      <c r="M55" s="2" t="s">
        <v>11</v>
      </c>
      <c r="N55" s="3">
        <v>25</v>
      </c>
      <c r="O55" s="3">
        <v>37</v>
      </c>
      <c r="P55" s="3">
        <v>32</v>
      </c>
      <c r="Q55" s="3">
        <v>34</v>
      </c>
      <c r="R55" s="3">
        <v>14</v>
      </c>
      <c r="S55" s="3">
        <v>142</v>
      </c>
      <c r="U55" s="2"/>
      <c r="V55" s="3"/>
    </row>
    <row r="56" spans="2:22" x14ac:dyDescent="0.25">
      <c r="C56" s="4" t="s">
        <v>79</v>
      </c>
      <c r="M56" s="2" t="s">
        <v>17</v>
      </c>
      <c r="N56" s="3">
        <v>24</v>
      </c>
      <c r="O56" s="3">
        <v>36</v>
      </c>
      <c r="P56" s="3">
        <v>34</v>
      </c>
      <c r="Q56" s="3">
        <v>27</v>
      </c>
      <c r="R56" s="3">
        <v>25</v>
      </c>
      <c r="S56" s="3">
        <v>146</v>
      </c>
      <c r="U56" s="2"/>
      <c r="V56" s="3"/>
    </row>
    <row r="57" spans="2:22" x14ac:dyDescent="0.25">
      <c r="C57" s="1" t="s">
        <v>24</v>
      </c>
      <c r="D57" t="s">
        <v>80</v>
      </c>
      <c r="M57" s="2" t="s">
        <v>19</v>
      </c>
      <c r="N57" s="3">
        <v>20</v>
      </c>
      <c r="O57" s="3">
        <v>35</v>
      </c>
      <c r="P57" s="3">
        <v>25</v>
      </c>
      <c r="Q57" s="3">
        <v>35</v>
      </c>
      <c r="R57" s="3">
        <v>18</v>
      </c>
      <c r="S57" s="3">
        <v>133</v>
      </c>
      <c r="U57" s="2"/>
      <c r="V57" s="3"/>
    </row>
    <row r="58" spans="2:22" x14ac:dyDescent="0.25">
      <c r="C58" s="2" t="s">
        <v>17</v>
      </c>
      <c r="D58" s="6">
        <v>1589.513698630137</v>
      </c>
      <c r="F58" s="14"/>
      <c r="G58" s="15"/>
      <c r="H58" s="16"/>
      <c r="M58" s="2" t="s">
        <v>14</v>
      </c>
      <c r="N58" s="3">
        <v>19</v>
      </c>
      <c r="O58" s="3">
        <v>34</v>
      </c>
      <c r="P58" s="3">
        <v>32</v>
      </c>
      <c r="Q58" s="3">
        <v>34</v>
      </c>
      <c r="R58" s="3">
        <v>14</v>
      </c>
      <c r="S58" s="3">
        <v>133</v>
      </c>
      <c r="U58" s="2"/>
      <c r="V58" s="3"/>
    </row>
    <row r="59" spans="2:22" x14ac:dyDescent="0.25">
      <c r="C59" s="2" t="s">
        <v>16</v>
      </c>
      <c r="D59" s="6">
        <v>1528.8767123287671</v>
      </c>
      <c r="F59" s="17"/>
      <c r="G59" s="18"/>
      <c r="H59" s="19"/>
      <c r="M59" s="2" t="s">
        <v>25</v>
      </c>
      <c r="N59" s="3">
        <v>110</v>
      </c>
      <c r="O59" s="3">
        <v>182</v>
      </c>
      <c r="P59" s="3">
        <v>162</v>
      </c>
      <c r="Q59" s="3">
        <v>164</v>
      </c>
      <c r="R59" s="3">
        <v>82</v>
      </c>
      <c r="S59" s="3">
        <v>700</v>
      </c>
    </row>
    <row r="60" spans="2:22" x14ac:dyDescent="0.25">
      <c r="C60" s="2" t="s">
        <v>14</v>
      </c>
      <c r="D60" s="6">
        <v>1523.8496240601503</v>
      </c>
      <c r="F60" s="17"/>
      <c r="G60" s="18"/>
      <c r="H60" s="19"/>
      <c r="I60" s="1" t="s">
        <v>24</v>
      </c>
      <c r="J60" t="s">
        <v>34</v>
      </c>
    </row>
    <row r="61" spans="2:22" x14ac:dyDescent="0.25">
      <c r="C61" s="2" t="s">
        <v>19</v>
      </c>
      <c r="D61" s="6">
        <v>1504.5714285714287</v>
      </c>
      <c r="F61" s="17"/>
      <c r="G61" s="18"/>
      <c r="H61" s="19"/>
      <c r="I61" s="2" t="s">
        <v>11</v>
      </c>
      <c r="J61" s="6">
        <v>267.78873239436621</v>
      </c>
    </row>
    <row r="62" spans="2:22" x14ac:dyDescent="0.25">
      <c r="C62" s="2" t="s">
        <v>11</v>
      </c>
      <c r="D62" s="6">
        <v>1475.6760563380283</v>
      </c>
      <c r="F62" s="17"/>
      <c r="G62" s="18"/>
      <c r="H62" s="19"/>
      <c r="I62" s="2" t="s">
        <v>17</v>
      </c>
      <c r="J62" s="6">
        <v>282.02054794520546</v>
      </c>
      <c r="N62" s="1" t="s">
        <v>1</v>
      </c>
      <c r="O62" t="s">
        <v>66</v>
      </c>
    </row>
    <row r="63" spans="2:22" x14ac:dyDescent="0.25">
      <c r="C63" s="2" t="s">
        <v>25</v>
      </c>
      <c r="D63" s="6">
        <v>1525.1585714285713</v>
      </c>
      <c r="E63" s="6">
        <f>GETPIVOTDATA("[Measures].[Average of Table2[Battery Drain (mAh/day)]]]",$C57)</f>
        <v>1525.1585714285713</v>
      </c>
      <c r="F63" s="17"/>
      <c r="G63" s="18"/>
      <c r="H63" s="19"/>
      <c r="I63" s="2" t="s">
        <v>14</v>
      </c>
      <c r="J63" s="6">
        <v>270.38345864661653</v>
      </c>
      <c r="N63" s="2" t="s">
        <v>11</v>
      </c>
      <c r="O63" s="6">
        <v>49.908450704225352</v>
      </c>
    </row>
    <row r="64" spans="2:22" x14ac:dyDescent="0.25">
      <c r="F64" s="17"/>
      <c r="G64" s="18"/>
      <c r="H64" s="19"/>
      <c r="I64" s="2" t="s">
        <v>19</v>
      </c>
      <c r="J64" s="6">
        <v>266.42105263157896</v>
      </c>
      <c r="N64" s="2" t="s">
        <v>17</v>
      </c>
      <c r="O64" s="6">
        <v>52.726027397260275</v>
      </c>
    </row>
    <row r="65" spans="3:16" x14ac:dyDescent="0.25">
      <c r="F65" s="17"/>
      <c r="G65" s="18"/>
      <c r="H65" s="19"/>
      <c r="I65" s="2" t="s">
        <v>16</v>
      </c>
      <c r="J65" s="6">
        <v>268.45205479452056</v>
      </c>
      <c r="N65" s="2" t="s">
        <v>14</v>
      </c>
      <c r="O65" s="6">
        <v>49.969924812030072</v>
      </c>
    </row>
    <row r="66" spans="3:16" x14ac:dyDescent="0.25">
      <c r="F66" s="17"/>
      <c r="G66" s="18"/>
      <c r="H66" s="19"/>
      <c r="I66" s="2" t="s">
        <v>25</v>
      </c>
      <c r="J66" s="6">
        <v>271.12857142857143</v>
      </c>
      <c r="K66" s="6">
        <f>GETPIVOTDATA("[Measures].[Average of App Usage Time (min/day)]",$I60)</f>
        <v>271.12857142857143</v>
      </c>
      <c r="N66" s="2" t="s">
        <v>19</v>
      </c>
      <c r="O66" s="6">
        <v>50.804511278195491</v>
      </c>
    </row>
    <row r="67" spans="3:16" x14ac:dyDescent="0.25">
      <c r="C67" s="1" t="s">
        <v>24</v>
      </c>
      <c r="D67" t="s">
        <v>69</v>
      </c>
      <c r="F67" s="17"/>
      <c r="G67" s="18"/>
      <c r="H67" s="19"/>
      <c r="N67" s="2" t="s">
        <v>16</v>
      </c>
      <c r="O67" s="6">
        <v>49.924657534246577</v>
      </c>
    </row>
    <row r="68" spans="3:16" x14ac:dyDescent="0.25">
      <c r="C68" s="2" t="s">
        <v>11</v>
      </c>
      <c r="D68" s="6">
        <v>5.0760563380281685</v>
      </c>
      <c r="F68" s="17"/>
      <c r="G68" s="18"/>
      <c r="H68" s="19"/>
      <c r="N68" s="2" t="s">
        <v>25</v>
      </c>
      <c r="O68" s="6">
        <v>50.681428571428569</v>
      </c>
      <c r="P68" s="6">
        <f>GETPIVOTDATA("[Measures].[Average of Number of Apps Installed]",$N62)</f>
        <v>50.681428571428569</v>
      </c>
    </row>
    <row r="69" spans="3:16" x14ac:dyDescent="0.25">
      <c r="C69" s="2" t="s">
        <v>17</v>
      </c>
      <c r="D69" s="6">
        <v>5.4308219178082187</v>
      </c>
      <c r="F69" s="17"/>
      <c r="G69" s="18"/>
      <c r="H69" s="19"/>
    </row>
    <row r="70" spans="3:16" x14ac:dyDescent="0.25">
      <c r="C70" s="2" t="s">
        <v>14</v>
      </c>
      <c r="D70" s="6">
        <v>5.2413533834586472</v>
      </c>
      <c r="F70" s="17"/>
      <c r="G70" s="18"/>
      <c r="H70" s="19"/>
    </row>
    <row r="71" spans="3:16" x14ac:dyDescent="0.25">
      <c r="C71" s="2" t="s">
        <v>19</v>
      </c>
      <c r="D71" s="6">
        <v>5.3180451127819541</v>
      </c>
      <c r="F71" s="17"/>
      <c r="G71" s="18"/>
      <c r="H71" s="19"/>
      <c r="I71" s="1" t="s">
        <v>24</v>
      </c>
      <c r="J71" t="s">
        <v>69</v>
      </c>
    </row>
    <row r="72" spans="3:16" x14ac:dyDescent="0.25">
      <c r="C72" s="2" t="s">
        <v>16</v>
      </c>
      <c r="D72" s="6">
        <v>5.2931506849315069</v>
      </c>
      <c r="F72" s="17"/>
      <c r="G72" s="18"/>
      <c r="H72" s="19"/>
      <c r="I72" s="2" t="s">
        <v>11</v>
      </c>
      <c r="J72" s="3">
        <v>5.0760563380281685</v>
      </c>
    </row>
    <row r="73" spans="3:16" x14ac:dyDescent="0.25">
      <c r="C73" s="2" t="s">
        <v>25</v>
      </c>
      <c r="D73" s="6">
        <v>5.2727142857142857</v>
      </c>
      <c r="E73" s="6">
        <f>GETPIVOTDATA("[Measures].[Average of Screen On Time (hours/day)]",$C67)</f>
        <v>5.2727142857142857</v>
      </c>
      <c r="F73" s="17"/>
      <c r="G73" s="18"/>
      <c r="H73" s="19"/>
      <c r="I73" s="2" t="s">
        <v>17</v>
      </c>
      <c r="J73" s="3">
        <v>5.4308219178082187</v>
      </c>
    </row>
    <row r="74" spans="3:16" x14ac:dyDescent="0.25">
      <c r="E74" s="6"/>
      <c r="F74" s="17"/>
      <c r="G74" s="18"/>
      <c r="H74" s="19"/>
      <c r="I74" s="2" t="s">
        <v>14</v>
      </c>
      <c r="J74" s="3">
        <v>5.2413533834586472</v>
      </c>
    </row>
    <row r="75" spans="3:16" x14ac:dyDescent="0.25">
      <c r="E75" s="6"/>
      <c r="F75" s="20"/>
      <c r="G75" s="21"/>
      <c r="H75" s="22"/>
      <c r="I75" s="2" t="s">
        <v>19</v>
      </c>
      <c r="J75" s="3">
        <v>5.3180451127819541</v>
      </c>
    </row>
    <row r="76" spans="3:16" x14ac:dyDescent="0.25">
      <c r="I76" s="2" t="s">
        <v>16</v>
      </c>
      <c r="J76" s="3">
        <v>5.2931506849315069</v>
      </c>
    </row>
    <row r="77" spans="3:16" x14ac:dyDescent="0.25">
      <c r="I77" s="2" t="s">
        <v>25</v>
      </c>
      <c r="J77" s="3">
        <v>5.2727142857142857</v>
      </c>
    </row>
  </sheetData>
  <pageMargins left="0.7" right="0.7" top="0.75" bottom="0.75" header="0.3" footer="0.3"/>
  <pageSetup orientation="portrait" r:id="rId23"/>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'Device model with highest users'!J61:J66</xm:f>
              <xm:sqref>J68</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BZ37"/>
  <sheetViews>
    <sheetView showGridLines="0" showRowColHeaders="0" tabSelected="1" topLeftCell="A2" zoomScale="65" zoomScaleNormal="65" workbookViewId="0">
      <selection activeCell="T37" sqref="T37"/>
    </sheetView>
  </sheetViews>
  <sheetFormatPr defaultRowHeight="15" x14ac:dyDescent="0.25"/>
  <cols>
    <col min="1" max="16384" width="9.140625" style="27"/>
  </cols>
  <sheetData>
    <row r="1" spans="3:78" x14ac:dyDescent="0.25">
      <c r="D1" s="27" t="s">
        <v>81</v>
      </c>
    </row>
    <row r="6" spans="3:78" x14ac:dyDescent="0.25">
      <c r="C6" s="27" t="s">
        <v>67</v>
      </c>
    </row>
    <row r="12" spans="3:78" x14ac:dyDescent="0.25">
      <c r="BX12" s="28"/>
      <c r="BY12" s="29"/>
      <c r="BZ12" s="30"/>
    </row>
    <row r="13" spans="3:78" x14ac:dyDescent="0.25">
      <c r="BX13" s="31"/>
      <c r="BY13" s="32"/>
      <c r="BZ13" s="33"/>
    </row>
    <row r="14" spans="3:78" x14ac:dyDescent="0.25">
      <c r="BX14" s="31"/>
      <c r="BY14" s="32"/>
      <c r="BZ14" s="33"/>
    </row>
    <row r="15" spans="3:78" x14ac:dyDescent="0.25">
      <c r="BX15" s="31"/>
      <c r="BY15" s="32"/>
      <c r="BZ15" s="33"/>
    </row>
    <row r="16" spans="3:78" x14ac:dyDescent="0.25">
      <c r="BX16" s="31"/>
      <c r="BY16" s="32"/>
      <c r="BZ16" s="33"/>
    </row>
    <row r="17" spans="76:78" x14ac:dyDescent="0.25">
      <c r="BX17" s="31"/>
      <c r="BY17" s="32"/>
      <c r="BZ17" s="33"/>
    </row>
    <row r="18" spans="76:78" x14ac:dyDescent="0.25">
      <c r="BX18" s="31"/>
      <c r="BY18" s="32"/>
      <c r="BZ18" s="33"/>
    </row>
    <row r="19" spans="76:78" x14ac:dyDescent="0.25">
      <c r="BX19" s="31"/>
      <c r="BY19" s="32"/>
      <c r="BZ19" s="33"/>
    </row>
    <row r="20" spans="76:78" x14ac:dyDescent="0.25">
      <c r="BX20" s="31"/>
      <c r="BY20" s="32"/>
      <c r="BZ20" s="33"/>
    </row>
    <row r="21" spans="76:78" x14ac:dyDescent="0.25">
      <c r="BX21" s="31"/>
      <c r="BY21" s="32"/>
      <c r="BZ21" s="33"/>
    </row>
    <row r="22" spans="76:78" x14ac:dyDescent="0.25">
      <c r="BX22" s="31"/>
      <c r="BY22" s="32"/>
      <c r="BZ22" s="33"/>
    </row>
    <row r="23" spans="76:78" x14ac:dyDescent="0.25">
      <c r="BX23" s="31"/>
      <c r="BY23" s="32"/>
      <c r="BZ23" s="33"/>
    </row>
    <row r="24" spans="76:78" x14ac:dyDescent="0.25">
      <c r="BX24" s="31"/>
      <c r="BY24" s="32"/>
      <c r="BZ24" s="33"/>
    </row>
    <row r="25" spans="76:78" x14ac:dyDescent="0.25">
      <c r="BX25" s="31"/>
      <c r="BY25" s="32"/>
      <c r="BZ25" s="33"/>
    </row>
    <row r="26" spans="76:78" x14ac:dyDescent="0.25">
      <c r="BX26" s="31"/>
      <c r="BY26" s="32"/>
      <c r="BZ26" s="33"/>
    </row>
    <row r="27" spans="76:78" x14ac:dyDescent="0.25">
      <c r="BX27" s="31"/>
      <c r="BY27" s="32"/>
      <c r="BZ27" s="33"/>
    </row>
    <row r="28" spans="76:78" x14ac:dyDescent="0.25">
      <c r="BX28" s="31"/>
      <c r="BY28" s="32"/>
      <c r="BZ28" s="33"/>
    </row>
    <row r="29" spans="76:78" x14ac:dyDescent="0.25">
      <c r="BX29" s="34"/>
      <c r="BY29" s="35"/>
      <c r="BZ29" s="36"/>
    </row>
    <row r="37" spans="20:20" x14ac:dyDescent="0.25">
      <c r="T37" s="27" t="s">
        <v>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934E384-65CA-46E6-84B4-AE277F95AEA7}">
  <ds:schemaRefs/>
</ds:datastoreItem>
</file>

<file path=customXml/itemProps2.xml><?xml version="1.0" encoding="utf-8"?>
<ds:datastoreItem xmlns:ds="http://schemas.openxmlformats.org/officeDocument/2006/customXml" ds:itemID="{A7DAFB2D-F96D-48B6-9E09-3827BA02A80C}">
  <ds:schemaRefs/>
</ds:datastoreItem>
</file>

<file path=customXml/itemProps3.xml><?xml version="1.0" encoding="utf-8"?>
<ds:datastoreItem xmlns:ds="http://schemas.openxmlformats.org/officeDocument/2006/customXml" ds:itemID="{9168E53E-0E2A-47EB-9955-E90F7435D0D8}">
  <ds:schemaRefs/>
</ds:datastoreItem>
</file>

<file path=customXml/itemProps4.xml><?xml version="1.0" encoding="utf-8"?>
<ds:datastoreItem xmlns:ds="http://schemas.openxmlformats.org/officeDocument/2006/customXml" ds:itemID="{7852655F-741C-46B8-AE28-1241C8C6E470}">
  <ds:schemaRefs/>
</ds:datastoreItem>
</file>

<file path=customXml/itemProps5.xml><?xml version="1.0" encoding="utf-8"?>
<ds:datastoreItem xmlns:ds="http://schemas.openxmlformats.org/officeDocument/2006/customXml" ds:itemID="{74BAF102-793A-4397-BEA7-40B5DFB40A7C}">
  <ds:schemaRefs/>
</ds:datastoreItem>
</file>

<file path=customXml/itemProps6.xml><?xml version="1.0" encoding="utf-8"?>
<ds:datastoreItem xmlns:ds="http://schemas.openxmlformats.org/officeDocument/2006/customXml" ds:itemID="{3A4D30FA-A6AE-49EF-858B-FAB252250913}">
  <ds:schemaRefs/>
</ds:datastoreItem>
</file>

<file path=customXml/itemProps7.xml><?xml version="1.0" encoding="utf-8"?>
<ds:datastoreItem xmlns:ds="http://schemas.openxmlformats.org/officeDocument/2006/customXml" ds:itemID="{8FE30816-0029-4450-BB1C-F6712D2AE4E6}">
  <ds:schemaRefs/>
</ds:datastoreItem>
</file>

<file path=customXml/itemProps8.xml><?xml version="1.0" encoding="utf-8"?>
<ds:datastoreItem xmlns:ds="http://schemas.openxmlformats.org/officeDocument/2006/customXml" ds:itemID="{15C74974-C133-462E-8F89-F34FC6ACF4C9}">
  <ds:schemaRefs/>
</ds:datastoreItem>
</file>

<file path=customXml/itemProps9.xml><?xml version="1.0" encoding="utf-8"?>
<ds:datastoreItem xmlns:ds="http://schemas.openxmlformats.org/officeDocument/2006/customXml" ds:itemID="{BBC8D6D4-F26E-4C05-A378-35665FDDDB11}">
  <ds:schemaRefs/>
</ds:datastoreItem>
</file>

<file path=customXml/itemProps10.xml><?xml version="1.0" encoding="utf-8"?>
<ds:datastoreItem xmlns:ds="http://schemas.openxmlformats.org/officeDocument/2006/customXml" ds:itemID="{108B2C4F-FA98-466B-A5C5-FF8ACB3CE31B}">
  <ds:schemaRefs/>
</ds:datastoreItem>
</file>

<file path=customXml/itemProps11.xml><?xml version="1.0" encoding="utf-8"?>
<ds:datastoreItem xmlns:ds="http://schemas.openxmlformats.org/officeDocument/2006/customXml" ds:itemID="{9C94CA79-A93A-481C-877C-0D05C03C2B0C}">
  <ds:schemaRefs/>
</ds:datastoreItem>
</file>

<file path=customXml/itemProps12.xml><?xml version="1.0" encoding="utf-8"?>
<ds:datastoreItem xmlns:ds="http://schemas.openxmlformats.org/officeDocument/2006/customXml" ds:itemID="{27FE7AB5-DE79-42B9-ACC6-0EE1B9512D8C}">
  <ds:schemaRefs/>
</ds:datastoreItem>
</file>

<file path=customXml/itemProps13.xml><?xml version="1.0" encoding="utf-8"?>
<ds:datastoreItem xmlns:ds="http://schemas.openxmlformats.org/officeDocument/2006/customXml" ds:itemID="{92F47343-0E17-4CDE-8113-A94580D739F9}">
  <ds:schemaRefs/>
</ds:datastoreItem>
</file>

<file path=customXml/itemProps14.xml><?xml version="1.0" encoding="utf-8"?>
<ds:datastoreItem xmlns:ds="http://schemas.openxmlformats.org/officeDocument/2006/customXml" ds:itemID="{894F0237-DA48-4BFA-961D-837D60906786}">
  <ds:schemaRefs/>
</ds:datastoreItem>
</file>

<file path=customXml/itemProps15.xml><?xml version="1.0" encoding="utf-8"?>
<ds:datastoreItem xmlns:ds="http://schemas.openxmlformats.org/officeDocument/2006/customXml" ds:itemID="{9751D5B6-95A1-4BA7-821F-901CFD867F01}">
  <ds:schemaRefs/>
</ds:datastoreItem>
</file>

<file path=customXml/itemProps16.xml><?xml version="1.0" encoding="utf-8"?>
<ds:datastoreItem xmlns:ds="http://schemas.openxmlformats.org/officeDocument/2006/customXml" ds:itemID="{3391E2C0-6394-4703-BF52-5234D112D6DE}">
  <ds:schemaRefs/>
</ds:datastoreItem>
</file>

<file path=customXml/itemProps17.xml><?xml version="1.0" encoding="utf-8"?>
<ds:datastoreItem xmlns:ds="http://schemas.openxmlformats.org/officeDocument/2006/customXml" ds:itemID="{73D2F40D-8AE4-4B26-AB27-A90B127A09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Altered data</vt:lpstr>
      <vt:lpstr>Device model with highest users</vt:lpstr>
      <vt:lpstr>Dashboard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2025-10-12T15:21:52Z</dcterms:created>
  <dcterms:modified xsi:type="dcterms:W3CDTF">2025-10-26T17:00:22Z</dcterms:modified>
</cp:coreProperties>
</file>